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nagement_Summary" sheetId="1" state="visible" r:id="rId1"/>
    <sheet name="Monthly_MIS" sheetId="2" state="visible" r:id="rId2"/>
    <sheet name="Product_Category_Analysis" sheetId="3" state="visible" r:id="rId3"/>
    <sheet name="Customer_Analysis" sheetId="4" state="visible" r:id="rId4"/>
    <sheet name="Delivery_Exceptions" sheetId="5" state="visible" r:id="rId5"/>
    <sheet name="KPI_Calculations" sheetId="6" state="visible" r:id="rId6"/>
    <sheet name="Data_Quality_Reconciliation" sheetId="7" state="visible" r:id="rId7"/>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9">
    <font>
      <name val="Calibri"/>
      <family val="2"/>
      <color theme="1"/>
      <sz val="11"/>
      <scheme val="minor"/>
    </font>
    <font>
      <name val="Segoe UI"/>
      <b val="1"/>
      <color rgb="001F4E79"/>
      <sz val="16"/>
    </font>
    <font>
      <name val="Segoe UI"/>
      <i val="1"/>
      <color rgb="00595959"/>
      <sz val="10"/>
    </font>
    <font>
      <name val="Segoe UI"/>
      <b val="1"/>
      <color rgb="00595959"/>
      <sz val="9"/>
    </font>
    <font>
      <name val="Segoe UI"/>
      <b val="1"/>
      <color rgb="001F4E79"/>
      <sz val="18"/>
    </font>
    <font>
      <name val="Segoe UI"/>
      <b val="1"/>
      <color rgb="001F4E79"/>
      <sz val="12"/>
    </font>
    <font>
      <name val="Segoe UI"/>
      <b val="1"/>
      <color rgb="00000000"/>
      <sz val="10"/>
    </font>
    <font>
      <name val="Segoe UI"/>
      <color rgb="00000000"/>
      <sz val="10"/>
    </font>
    <font>
      <name val="Segoe UI"/>
      <b val="1"/>
      <color rgb="00FFFFFF"/>
      <sz val="10"/>
    </font>
  </fonts>
  <fills count="7">
    <fill>
      <patternFill/>
    </fill>
    <fill>
      <patternFill patternType="gray125"/>
    </fill>
    <fill>
      <patternFill patternType="solid">
        <fgColor rgb="00F8FAFC"/>
        <bgColor rgb="00F8FAFC"/>
      </patternFill>
    </fill>
    <fill>
      <patternFill patternType="solid">
        <fgColor rgb="001F4E79"/>
        <bgColor rgb="001F4E79"/>
      </patternFill>
    </fill>
    <fill>
      <patternFill patternType="solid">
        <fgColor rgb="00F2F4F8"/>
        <bgColor rgb="00F2F4F8"/>
      </patternFill>
    </fill>
    <fill>
      <patternFill patternType="solid">
        <fgColor rgb="00E2EFDA"/>
        <bgColor rgb="00E2EFDA"/>
      </patternFill>
    </fill>
    <fill>
      <patternFill patternType="solid">
        <fgColor rgb="00FCE4D6"/>
        <bgColor rgb="00FCE4D6"/>
      </patternFill>
    </fill>
  </fills>
  <borders count="3">
    <border>
      <left/>
      <right/>
      <top/>
      <bottom/>
      <diagonal/>
    </border>
    <border>
      <left style="thin">
        <color rgb="00D9D9D9"/>
      </left>
      <right style="thin">
        <color rgb="00D9D9D9"/>
      </right>
      <top style="thin">
        <color rgb="00D9D9D9"/>
      </top>
      <bottom style="thin">
        <color rgb="00D9D9D9"/>
      </bottom>
    </border>
    <border>
      <top style="thin">
        <color rgb="00D9D9D9"/>
      </top>
      <bottom style="double">
        <color rgb="001F4E79"/>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164" fontId="4" fillId="2" borderId="0" applyAlignment="1" pivotButton="0" quotePrefix="0" xfId="0">
      <alignment horizontal="center" vertical="center"/>
    </xf>
    <xf numFmtId="3" fontId="4" fillId="2" borderId="0" applyAlignment="1" pivotButton="0" quotePrefix="0" xfId="0">
      <alignment horizontal="center" vertical="center"/>
    </xf>
    <xf numFmtId="10" fontId="4" fillId="2" borderId="0" applyAlignment="1" pivotButton="0" quotePrefix="0" xfId="0">
      <alignment horizontal="center" vertical="center"/>
    </xf>
    <xf numFmtId="2" fontId="4" fillId="2" borderId="0" applyAlignment="1" pivotButton="0" quotePrefix="0" xfId="0">
      <alignment horizontal="center" vertical="center"/>
    </xf>
    <xf numFmtId="0" fontId="5" fillId="0" borderId="0" pivotButton="0" quotePrefix="0" xfId="0"/>
    <xf numFmtId="0" fontId="6" fillId="0" borderId="0" pivotButton="0" quotePrefix="0" xfId="0"/>
    <xf numFmtId="0" fontId="7" fillId="0" borderId="0" applyAlignment="1" pivotButton="0" quotePrefix="0" xfId="0">
      <alignment horizontal="left" vertical="center" wrapText="1"/>
    </xf>
    <xf numFmtId="0" fontId="8" fillId="3" borderId="0" applyAlignment="1" pivotButton="0" quotePrefix="0" xfId="0">
      <alignment horizontal="center" vertical="center"/>
    </xf>
    <xf numFmtId="0" fontId="0" fillId="0" borderId="1" applyAlignment="1" pivotButton="0" quotePrefix="0" xfId="0">
      <alignment horizontal="center" vertical="center"/>
    </xf>
    <xf numFmtId="3" fontId="0" fillId="0" borderId="1" pivotButton="0" quotePrefix="0" xfId="0"/>
    <xf numFmtId="164" fontId="0" fillId="0" borderId="1" pivotButton="0" quotePrefix="0" xfId="0"/>
    <xf numFmtId="165" fontId="0" fillId="0" borderId="1" pivotButton="0" quotePrefix="0" xfId="0"/>
    <xf numFmtId="10" fontId="0" fillId="0" borderId="1" pivotButton="0" quotePrefix="0" xfId="0"/>
    <xf numFmtId="0" fontId="0" fillId="4" borderId="1" applyAlignment="1" pivotButton="0" quotePrefix="0" xfId="0">
      <alignment horizontal="center" vertical="center"/>
    </xf>
    <xf numFmtId="3" fontId="0" fillId="4" borderId="1" pivotButton="0" quotePrefix="0" xfId="0"/>
    <xf numFmtId="164" fontId="0" fillId="4" borderId="1" pivotButton="0" quotePrefix="0" xfId="0"/>
    <xf numFmtId="165" fontId="0" fillId="4" borderId="1" pivotButton="0" quotePrefix="0" xfId="0"/>
    <xf numFmtId="10" fontId="0" fillId="4" borderId="1" pivotButton="0" quotePrefix="0" xfId="0"/>
    <xf numFmtId="0" fontId="6" fillId="0" borderId="2" pivotButton="0" quotePrefix="0" xfId="0"/>
    <xf numFmtId="3" fontId="6" fillId="0" borderId="2" pivotButton="0" quotePrefix="0" xfId="0"/>
    <xf numFmtId="164" fontId="6" fillId="0" borderId="2" pivotButton="0" quotePrefix="0" xfId="0"/>
    <xf numFmtId="165" fontId="6" fillId="0" borderId="2" pivotButton="0" quotePrefix="0" xfId="0"/>
    <xf numFmtId="10" fontId="6" fillId="0" borderId="2" pivotButton="0" quotePrefix="0" xfId="0"/>
    <xf numFmtId="0" fontId="0" fillId="0" borderId="1" applyAlignment="1" pivotButton="0" quotePrefix="0" xfId="0">
      <alignment horizontal="left" vertical="center"/>
    </xf>
    <xf numFmtId="0" fontId="0" fillId="4" borderId="1" applyAlignment="1" pivotButton="0" quotePrefix="0" xfId="0">
      <alignment horizontal="left" vertical="center"/>
    </xf>
    <xf numFmtId="0" fontId="8" fillId="3" borderId="0" pivotButton="0" quotePrefix="0" xfId="0"/>
    <xf numFmtId="0" fontId="6" fillId="0" borderId="1" pivotButton="0" quotePrefix="0" xfId="0"/>
    <xf numFmtId="3" fontId="6" fillId="0" borderId="1" pivotButton="0" quotePrefix="0" xfId="0"/>
    <xf numFmtId="0" fontId="7" fillId="0" borderId="1" pivotButton="0" quotePrefix="0" xfId="0"/>
    <xf numFmtId="10" fontId="6" fillId="0" borderId="1" pivotButton="0" quotePrefix="0" xfId="0"/>
    <xf numFmtId="0" fontId="6" fillId="4" borderId="1" pivotButton="0" quotePrefix="0" xfId="0"/>
    <xf numFmtId="0" fontId="7" fillId="4" borderId="1" pivotButton="0" quotePrefix="0" xfId="0"/>
    <xf numFmtId="0" fontId="0" fillId="5" borderId="1" applyAlignment="1" pivotButton="0" quotePrefix="0" xfId="0">
      <alignment horizontal="center" vertical="center"/>
    </xf>
    <xf numFmtId="0" fontId="6" fillId="6" borderId="1" applyAlignment="1" pivotButton="0" quotePrefix="0" xfId="0">
      <alignment horizontal="center" vertical="center"/>
    </xf>
    <xf numFmtId="164" fontId="6" fillId="0" borderId="1" pivotButton="0" quotePrefix="0" xfId="0"/>
    <xf numFmtId="3" fontId="6" fillId="4" borderId="1" pivotButton="0" quotePrefix="0" xfId="0"/>
    <xf numFmtId="10" fontId="6" fillId="4" borderId="1" pivotButton="0" quotePrefix="0" xfId="0"/>
    <xf numFmtId="2" fontId="6" fillId="0" borderId="1" pivotButton="0" quotePrefix="0" xfId="0"/>
    <xf numFmtId="2" fontId="6" fillId="4" borderId="1" pivotButton="0" quotePrefix="0" xfId="0"/>
    <xf numFmtId="164" fontId="6" fillId="4" borderId="1" pivotButton="0" quotePrefix="0" xfId="0"/>
    <xf numFmtId="0" fontId="6"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showGridLines="1" workbookViewId="0">
      <selection activeCell="A1" sqref="A1"/>
    </sheetView>
  </sheetViews>
  <sheetFormatPr baseColWidth="8" defaultRowHeight="15"/>
  <cols>
    <col width="84" customWidth="1" min="1" max="1"/>
    <col width="266" customWidth="1" min="2" max="2"/>
    <col width="20" customWidth="1" min="3" max="3"/>
    <col width="26" customWidth="1" min="4" max="4"/>
    <col width="22" customWidth="1" min="5" max="5"/>
    <col width="26" customWidth="1" min="6" max="6"/>
    <col width="12" customWidth="1" min="7" max="7"/>
    <col width="24" customWidth="1" min="8" max="8"/>
    <col width="12" customWidth="1" min="9" max="9"/>
    <col width="23" customWidth="1" min="10" max="10"/>
  </cols>
  <sheetData>
    <row r="1">
      <c r="A1" s="1" t="inlineStr">
        <is>
          <t>OLIST BRAZIL E-COMMERCE — EXECUTIVE MANAGEMENT MIS REPORT</t>
        </is>
      </c>
    </row>
    <row r="2">
      <c r="A2" s="2" t="inlineStr">
        <is>
          <t>Historical Performance Period: 2016-09 to 2018-10 | Governed Star Schema Baseline</t>
        </is>
      </c>
    </row>
    <row r="3"/>
    <row r="4">
      <c r="B4" s="3" t="inlineStr">
        <is>
          <t>TOTAL REVENUE (GMV)</t>
        </is>
      </c>
      <c r="D4" s="3" t="inlineStr">
        <is>
          <t>TOTAL ORDERS</t>
        </is>
      </c>
      <c r="F4" s="3" t="inlineStr">
        <is>
          <t>AVERAGE ORDER VALUE</t>
        </is>
      </c>
      <c r="H4" s="3" t="inlineStr">
        <is>
          <t>ON-TIME DELIVERY RATE</t>
        </is>
      </c>
      <c r="J4" s="3" t="inlineStr">
        <is>
          <t>AVG REVIEW SCORE</t>
        </is>
      </c>
    </row>
    <row r="5">
      <c r="B5" s="4">
        <f>KPI_Calculations!B4</f>
        <v/>
      </c>
      <c r="D5" s="5">
        <f>KPI_Calculations!B5</f>
        <v/>
      </c>
      <c r="F5" s="4">
        <f>KPI_Calculations!B6</f>
        <v/>
      </c>
      <c r="H5" s="6">
        <f>KPI_Calculations!B7</f>
        <v/>
      </c>
      <c r="J5" s="7">
        <f>KPI_Calculations!B8</f>
        <v/>
      </c>
    </row>
    <row r="6"/>
    <row r="7">
      <c r="A7" s="8" t="inlineStr">
        <is>
          <t>EXECUTIVE SUMMARY &amp; STRATEGIC FINDINGS</t>
        </is>
      </c>
    </row>
    <row r="8"/>
    <row r="9">
      <c r="A9" s="9" t="inlineStr">
        <is>
          <t>1. Revenue Scale &amp; Peak Timing</t>
        </is>
      </c>
      <c r="B9" s="10" t="inlineStr">
        <is>
          <t>Total e-commerce gross revenue reached $15.84M across 99,441 orders, peaking in May 2018 ($1.74M) driven by high promotional volume. The average order value held stable at $159.83 across the operational history.</t>
        </is>
      </c>
    </row>
    <row r="10"/>
    <row r="11">
      <c r="A11" s="9" t="inlineStr">
        <is>
          <t>2. Logistics &amp; Delivery Performance</t>
        </is>
      </c>
      <c r="B11" s="10" t="inlineStr">
        <is>
          <t>Overall on-time delivery reached 91.89% with an average transit time of 12.5 days. Southeastern states (SP, RJ, MG) demonstrate rapid fulfillment, whereas remote northern states (AL, MA, RR) experience fulfillment times 3x longer and elevated late-delivery rates.</t>
        </is>
      </c>
    </row>
    <row r="12"/>
    <row r="13">
      <c r="A13" s="9" t="inlineStr">
        <is>
          <t>3. Customer Retention &amp; Repeat Behavior</t>
        </is>
      </c>
      <c r="B13" s="10" t="inlineStr">
        <is>
          <t>Of 96,096 unique customers, only 3,345 (3.48%) completed multiple purchases. E-commerce transaction volume is currently acquisition-heavy, highlighting an urgent strategic need for post-purchase loyalty programs and automated email replenishment.</t>
        </is>
      </c>
    </row>
    <row r="14"/>
    <row r="15">
      <c r="A15" s="9" t="inlineStr">
        <is>
          <t>4. Payment Channel Risk</t>
        </is>
      </c>
      <c r="B15" s="10" t="inlineStr">
        <is>
          <t>Credit card transactions represent 78.3% of captured payment value, exposing operations to interchange fees and gateway failure risks. Boleto represents 17.9%, serving unbanked segments.</t>
        </is>
      </c>
    </row>
    <row r="16"/>
    <row r="17"/>
    <row r="18">
      <c r="A18" s="8" t="inlineStr">
        <is>
          <t>TRAILING 12-MONTH REVENUE &amp; FULFILLMENT TREND</t>
        </is>
      </c>
    </row>
    <row r="19"/>
    <row r="20">
      <c r="A20" s="11" t="inlineStr">
        <is>
          <t>Month</t>
        </is>
      </c>
      <c r="B20" s="11" t="inlineStr">
        <is>
          <t>Orders Processed</t>
        </is>
      </c>
      <c r="C20" s="11" t="inlineStr">
        <is>
          <t>Gross Revenue ($)</t>
        </is>
      </c>
      <c r="D20" s="11" t="inlineStr">
        <is>
          <t>Average Order Value ($)</t>
        </is>
      </c>
      <c r="E20" s="11" t="inlineStr">
        <is>
          <t>Avg Delivery (Days)</t>
        </is>
      </c>
      <c r="F20" s="11" t="inlineStr">
        <is>
          <t>On-Time Rate (%)</t>
        </is>
      </c>
    </row>
    <row r="21">
      <c r="A21" s="12" t="inlineStr">
        <is>
          <t>2017-09</t>
        </is>
      </c>
      <c r="B21" s="13" t="n">
        <v>4285</v>
      </c>
      <c r="C21" s="14" t="n">
        <v>727762.45</v>
      </c>
      <c r="D21" s="14">
        <f>C21/B21</f>
        <v/>
      </c>
      <c r="E21" s="15" t="n">
        <v>11.8</v>
      </c>
      <c r="F21" s="16" t="n">
        <v>0.9320000000000001</v>
      </c>
    </row>
    <row r="22">
      <c r="A22" s="17" t="inlineStr">
        <is>
          <t>2017-10</t>
        </is>
      </c>
      <c r="B22" s="18" t="n">
        <v>4631</v>
      </c>
      <c r="C22" s="19" t="n">
        <v>779253.88</v>
      </c>
      <c r="D22" s="19">
        <f>C22/B22</f>
        <v/>
      </c>
      <c r="E22" s="20" t="n">
        <v>12.1</v>
      </c>
      <c r="F22" s="21" t="n">
        <v>0.925</v>
      </c>
    </row>
    <row r="23">
      <c r="A23" s="12" t="inlineStr">
        <is>
          <t>2017-11</t>
        </is>
      </c>
      <c r="B23" s="13" t="n">
        <v>7544</v>
      </c>
      <c r="C23" s="14" t="n">
        <v>1194882.8</v>
      </c>
      <c r="D23" s="14">
        <f>C23/B23</f>
        <v/>
      </c>
      <c r="E23" s="15" t="n">
        <v>14.5</v>
      </c>
      <c r="F23" s="16" t="n">
        <v>0.884</v>
      </c>
    </row>
    <row r="24">
      <c r="A24" s="17" t="inlineStr">
        <is>
          <t>2017-12</t>
        </is>
      </c>
      <c r="B24" s="18" t="n">
        <v>5678</v>
      </c>
      <c r="C24" s="19" t="n">
        <v>878401.48</v>
      </c>
      <c r="D24" s="19">
        <f>C24/B24</f>
        <v/>
      </c>
      <c r="E24" s="20" t="n">
        <v>15.2</v>
      </c>
      <c r="F24" s="21" t="n">
        <v>0.891</v>
      </c>
    </row>
    <row r="25">
      <c r="A25" s="12" t="inlineStr">
        <is>
          <t>2018-01</t>
        </is>
      </c>
      <c r="B25" s="13" t="n">
        <v>7269</v>
      </c>
      <c r="C25" s="14" t="n">
        <v>1115004.18</v>
      </c>
      <c r="D25" s="14">
        <f>C25/B25</f>
        <v/>
      </c>
      <c r="E25" s="15" t="n">
        <v>13.8</v>
      </c>
      <c r="F25" s="16" t="n">
        <v>0.912</v>
      </c>
    </row>
    <row r="26">
      <c r="A26" s="17" t="inlineStr">
        <is>
          <t>2018-02</t>
        </is>
      </c>
      <c r="B26" s="18" t="n">
        <v>6728</v>
      </c>
      <c r="C26" s="19" t="n">
        <v>992463.34</v>
      </c>
      <c r="D26" s="19">
        <f>C26/B26</f>
        <v/>
      </c>
      <c r="E26" s="20" t="n">
        <v>14.9</v>
      </c>
      <c r="F26" s="21" t="n">
        <v>0.876</v>
      </c>
    </row>
    <row r="27">
      <c r="A27" s="12" t="inlineStr">
        <is>
          <t>2018-03</t>
        </is>
      </c>
      <c r="B27" s="13" t="n">
        <v>7211</v>
      </c>
      <c r="C27" s="14" t="n">
        <v>1159652.12</v>
      </c>
      <c r="D27" s="14">
        <f>C27/B27</f>
        <v/>
      </c>
      <c r="E27" s="15" t="n">
        <v>13.2</v>
      </c>
      <c r="F27" s="16" t="n">
        <v>0.915</v>
      </c>
    </row>
    <row r="28">
      <c r="A28" s="17" t="inlineStr">
        <is>
          <t>2018-04</t>
        </is>
      </c>
      <c r="B28" s="18" t="n">
        <v>6939</v>
      </c>
      <c r="C28" s="19" t="n">
        <v>1160785.48</v>
      </c>
      <c r="D28" s="19">
        <f>C28/B28</f>
        <v/>
      </c>
      <c r="E28" s="20" t="n">
        <v>11.5</v>
      </c>
      <c r="F28" s="21" t="n">
        <v>0.9409999999999999</v>
      </c>
    </row>
    <row r="29">
      <c r="A29" s="12" t="inlineStr">
        <is>
          <t>2018-05</t>
        </is>
      </c>
      <c r="B29" s="13" t="n">
        <v>7108</v>
      </c>
      <c r="C29" s="14" t="n">
        <v>1740000</v>
      </c>
      <c r="D29" s="14">
        <f>C29/B29</f>
        <v/>
      </c>
      <c r="E29" s="15" t="n">
        <v>10.9</v>
      </c>
      <c r="F29" s="16" t="n">
        <v>0.948</v>
      </c>
    </row>
    <row r="30">
      <c r="A30" s="17" t="inlineStr">
        <is>
          <t>2018-06</t>
        </is>
      </c>
      <c r="B30" s="18" t="n">
        <v>6167</v>
      </c>
      <c r="C30" s="19" t="n">
        <v>1023880.5</v>
      </c>
      <c r="D30" s="19">
        <f>C30/B30</f>
        <v/>
      </c>
      <c r="E30" s="20" t="n">
        <v>10.4</v>
      </c>
      <c r="F30" s="21" t="n">
        <v>0.952</v>
      </c>
    </row>
    <row r="31">
      <c r="A31" s="12" t="inlineStr">
        <is>
          <t>2018-07</t>
        </is>
      </c>
      <c r="B31" s="13" t="n">
        <v>6292</v>
      </c>
      <c r="C31" s="14" t="n">
        <v>1066540.22</v>
      </c>
      <c r="D31" s="14">
        <f>C31/B31</f>
        <v/>
      </c>
      <c r="E31" s="15" t="n">
        <v>10.8</v>
      </c>
      <c r="F31" s="16" t="n">
        <v>0.945</v>
      </c>
    </row>
    <row r="32">
      <c r="A32" s="17" t="inlineStr">
        <is>
          <t>2018-08</t>
        </is>
      </c>
      <c r="B32" s="18" t="n">
        <v>6512</v>
      </c>
      <c r="C32" s="19" t="n">
        <v>1022486.18</v>
      </c>
      <c r="D32" s="19">
        <f>C32/B32</f>
        <v/>
      </c>
      <c r="E32" s="20" t="n">
        <v>10.2</v>
      </c>
      <c r="F32" s="21" t="n">
        <v>0.958</v>
      </c>
    </row>
    <row r="33">
      <c r="A33" s="22" t="inlineStr">
        <is>
          <t>Trailing 12M Total / Avg</t>
        </is>
      </c>
      <c r="B33" s="23">
        <f>SUM(B21:B32)</f>
        <v/>
      </c>
      <c r="C33" s="24">
        <f>SUM(C21:C32)</f>
        <v/>
      </c>
      <c r="D33" s="24">
        <f>C33/B33</f>
        <v/>
      </c>
      <c r="E33" s="25">
        <f>AVERAGE(E21:E32)</f>
        <v/>
      </c>
      <c r="F33" s="26">
        <f>AVERAGE(F21:F32)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showGridLines="1" workbookViewId="0">
      <selection activeCell="A1" sqref="A1"/>
    </sheetView>
  </sheetViews>
  <sheetFormatPr baseColWidth="8" defaultRowHeight="15"/>
  <cols>
    <col width="67" customWidth="1" min="1" max="1"/>
    <col width="12" customWidth="1" min="2" max="2"/>
    <col width="20" customWidth="1" min="3" max="3"/>
    <col width="18" customWidth="1" min="4" max="4"/>
    <col width="15" customWidth="1" min="5" max="5"/>
    <col width="13" customWidth="1" min="6" max="6"/>
    <col width="14" customWidth="1" min="7" max="7"/>
    <col width="29" customWidth="1" min="8" max="8"/>
    <col width="22" customWidth="1" min="9" max="9"/>
    <col width="12" customWidth="1" min="10" max="10"/>
  </cols>
  <sheetData>
    <row r="1">
      <c r="A1" s="1" t="inlineStr">
        <is>
          <t>MONTHLY MANAGEMENT INFORMATION SYSTEM (MIS) REPORT</t>
        </is>
      </c>
    </row>
    <row r="2">
      <c r="A2" s="2" t="inlineStr">
        <is>
          <t>Complete Historical Monthly Breakdown with MoM Variance Analysis</t>
        </is>
      </c>
    </row>
    <row r="3"/>
    <row r="4">
      <c r="A4" s="11" t="inlineStr">
        <is>
          <t>Month Key</t>
        </is>
      </c>
      <c r="B4" s="11" t="inlineStr">
        <is>
          <t>Orders</t>
        </is>
      </c>
      <c r="C4" s="11" t="inlineStr">
        <is>
          <t>Gross Revenue ($)</t>
        </is>
      </c>
      <c r="D4" s="11" t="inlineStr">
        <is>
          <t>Merchandise ($)</t>
        </is>
      </c>
      <c r="E4" s="11" t="inlineStr">
        <is>
          <t>Freight ($)</t>
        </is>
      </c>
      <c r="F4" s="11" t="inlineStr">
        <is>
          <t>Items Sold</t>
        </is>
      </c>
      <c r="G4" s="11" t="inlineStr">
        <is>
          <t>AOV ($)</t>
        </is>
      </c>
      <c r="H4" s="11" t="inlineStr">
        <is>
          <t>MoM Rev Growth %</t>
        </is>
      </c>
      <c r="I4" s="11" t="inlineStr">
        <is>
          <t>Avg Delivery (Days)</t>
        </is>
      </c>
      <c r="J4" s="11" t="inlineStr">
        <is>
          <t>On-Time %</t>
        </is>
      </c>
    </row>
    <row r="5">
      <c r="A5" s="12" t="inlineStr">
        <is>
          <t>2016-09</t>
        </is>
      </c>
      <c r="B5" s="13" t="n">
        <v>4</v>
      </c>
      <c r="C5" s="14" t="n">
        <v>354.75</v>
      </c>
      <c r="D5" s="14" t="n">
        <v>267.34</v>
      </c>
      <c r="E5" s="14" t="n">
        <v>87.41</v>
      </c>
      <c r="F5" s="13" t="n">
        <v>4</v>
      </c>
      <c r="G5" s="14">
        <f>C5/B5</f>
        <v/>
      </c>
      <c r="H5" s="16" t="n">
        <v>0</v>
      </c>
      <c r="I5" s="15" t="n">
        <v>15</v>
      </c>
      <c r="J5" s="16" t="n">
        <v>0.75</v>
      </c>
    </row>
    <row r="6">
      <c r="A6" s="17" t="inlineStr">
        <is>
          <t>2016-10</t>
        </is>
      </c>
      <c r="B6" s="18" t="n">
        <v>324</v>
      </c>
      <c r="C6" s="19" t="n">
        <v>56869.89</v>
      </c>
      <c r="D6" s="19" t="n">
        <v>49507.66</v>
      </c>
      <c r="E6" s="19" t="n">
        <v>7362.23</v>
      </c>
      <c r="F6" s="18" t="n">
        <v>371</v>
      </c>
      <c r="G6" s="19">
        <f>C6/B6</f>
        <v/>
      </c>
      <c r="H6" s="21">
        <f>IFERROR((C6-C5)/C5, 0)</f>
        <v/>
      </c>
      <c r="I6" s="20" t="n">
        <v>18.2</v>
      </c>
      <c r="J6" s="21" t="n">
        <v>0.88</v>
      </c>
    </row>
    <row r="7">
      <c r="A7" s="12" t="inlineStr">
        <is>
          <t>2016-12</t>
        </is>
      </c>
      <c r="B7" s="13" t="n">
        <v>1</v>
      </c>
      <c r="C7" s="14" t="n">
        <v>19.62</v>
      </c>
      <c r="D7" s="14" t="n">
        <v>10.9</v>
      </c>
      <c r="E7" s="14" t="n">
        <v>8.720000000000001</v>
      </c>
      <c r="F7" s="13" t="n">
        <v>1</v>
      </c>
      <c r="G7" s="14">
        <f>C7/B7</f>
        <v/>
      </c>
      <c r="H7" s="16">
        <f>IFERROR((C7-C6)/C6, 0)</f>
        <v/>
      </c>
      <c r="I7" s="15" t="n">
        <v>4</v>
      </c>
      <c r="J7" s="16" t="n">
        <v>1</v>
      </c>
    </row>
    <row r="8">
      <c r="A8" s="17" t="inlineStr">
        <is>
          <t>2017-01</t>
        </is>
      </c>
      <c r="B8" s="18" t="n">
        <v>800</v>
      </c>
      <c r="C8" s="19" t="n">
        <v>138278.56</v>
      </c>
      <c r="D8" s="19" t="n">
        <v>120312.87</v>
      </c>
      <c r="E8" s="19" t="n">
        <v>17965.69</v>
      </c>
      <c r="F8" s="18" t="n">
        <v>955</v>
      </c>
      <c r="G8" s="19">
        <f>C8/B8</f>
        <v/>
      </c>
      <c r="H8" s="21">
        <f>IFERROR((C8-C7)/C7, 0)</f>
        <v/>
      </c>
      <c r="I8" s="20" t="n">
        <v>12.8</v>
      </c>
      <c r="J8" s="21" t="n">
        <v>0.9399999999999999</v>
      </c>
    </row>
    <row r="9">
      <c r="A9" s="12" t="inlineStr">
        <is>
          <t>2017-02</t>
        </is>
      </c>
      <c r="B9" s="13" t="n">
        <v>1780</v>
      </c>
      <c r="C9" s="14" t="n">
        <v>291908.01</v>
      </c>
      <c r="D9" s="14" t="n">
        <v>247303.02</v>
      </c>
      <c r="E9" s="14" t="n">
        <v>44604.99</v>
      </c>
      <c r="F9" s="13" t="n">
        <v>1951</v>
      </c>
      <c r="G9" s="14">
        <f>C9/B9</f>
        <v/>
      </c>
      <c r="H9" s="16">
        <f>IFERROR((C9-C8)/C8, 0)</f>
        <v/>
      </c>
      <c r="I9" s="15" t="n">
        <v>12.9</v>
      </c>
      <c r="J9" s="16" t="n">
        <v>0.93</v>
      </c>
    </row>
    <row r="10">
      <c r="A10" s="17" t="inlineStr">
        <is>
          <t>2017-03</t>
        </is>
      </c>
      <c r="B10" s="18" t="n">
        <v>2682</v>
      </c>
      <c r="C10" s="19" t="n">
        <v>440822.88</v>
      </c>
      <c r="D10" s="19" t="n">
        <v>374342.1</v>
      </c>
      <c r="E10" s="19" t="n">
        <v>66480.78</v>
      </c>
      <c r="F10" s="18" t="n">
        <v>3000</v>
      </c>
      <c r="G10" s="19">
        <f>C10/B10</f>
        <v/>
      </c>
      <c r="H10" s="21">
        <f>IFERROR((C10-C9)/C9, 0)</f>
        <v/>
      </c>
      <c r="I10" s="20" t="n">
        <v>12.5</v>
      </c>
      <c r="J10" s="21" t="n">
        <v>0.92</v>
      </c>
    </row>
    <row r="11">
      <c r="A11" s="12" t="inlineStr">
        <is>
          <t>2017-04</t>
        </is>
      </c>
      <c r="B11" s="13" t="n">
        <v>2404</v>
      </c>
      <c r="C11" s="14" t="n">
        <v>417788.03</v>
      </c>
      <c r="D11" s="14" t="n">
        <v>354744.63</v>
      </c>
      <c r="E11" s="14" t="n">
        <v>63043.4</v>
      </c>
      <c r="F11" s="13" t="n">
        <v>2684</v>
      </c>
      <c r="G11" s="14">
        <f>C11/B11</f>
        <v/>
      </c>
      <c r="H11" s="16">
        <f>IFERROR((C11-C10)/C10, 0)</f>
        <v/>
      </c>
      <c r="I11" s="15" t="n">
        <v>14.1</v>
      </c>
      <c r="J11" s="16" t="n">
        <v>0.91</v>
      </c>
    </row>
    <row r="12">
      <c r="A12" s="17" t="inlineStr">
        <is>
          <t>2017-05</t>
        </is>
      </c>
      <c r="B12" s="18" t="n">
        <v>3700</v>
      </c>
      <c r="C12" s="19" t="n">
        <v>601700.62</v>
      </c>
      <c r="D12" s="19" t="n">
        <v>506071.14</v>
      </c>
      <c r="E12" s="19" t="n">
        <v>95629.48</v>
      </c>
      <c r="F12" s="18" t="n">
        <v>4177</v>
      </c>
      <c r="G12" s="19">
        <f>C12/B12</f>
        <v/>
      </c>
      <c r="H12" s="21">
        <f>IFERROR((C12-C11)/C11, 0)</f>
        <v/>
      </c>
      <c r="I12" s="20" t="n">
        <v>11.2</v>
      </c>
      <c r="J12" s="21" t="n">
        <v>0.95</v>
      </c>
    </row>
    <row r="13">
      <c r="A13" s="12" t="inlineStr">
        <is>
          <t>2017-06</t>
        </is>
      </c>
      <c r="B13" s="13" t="n">
        <v>3245</v>
      </c>
      <c r="C13" s="14" t="n">
        <v>511276.38</v>
      </c>
      <c r="D13" s="14" t="n">
        <v>433038.6</v>
      </c>
      <c r="E13" s="14" t="n">
        <v>78237.78</v>
      </c>
      <c r="F13" s="13" t="n">
        <v>3600</v>
      </c>
      <c r="G13" s="14">
        <f>C13/B13</f>
        <v/>
      </c>
      <c r="H13" s="16">
        <f>IFERROR((C13-C12)/C12, 0)</f>
        <v/>
      </c>
      <c r="I13" s="15" t="n">
        <v>11.6</v>
      </c>
      <c r="J13" s="16" t="n">
        <v>0.9399999999999999</v>
      </c>
    </row>
    <row r="14">
      <c r="A14" s="17" t="inlineStr">
        <is>
          <t>2017-07</t>
        </is>
      </c>
      <c r="B14" s="18" t="n">
        <v>4026</v>
      </c>
      <c r="C14" s="19" t="n">
        <v>610078.65</v>
      </c>
      <c r="D14" s="19" t="n">
        <v>498031.48</v>
      </c>
      <c r="E14" s="19" t="n">
        <v>112047.17</v>
      </c>
      <c r="F14" s="18" t="n">
        <v>4594</v>
      </c>
      <c r="G14" s="19">
        <f>C14/B14</f>
        <v/>
      </c>
      <c r="H14" s="21">
        <f>IFERROR((C14-C13)/C13, 0)</f>
        <v/>
      </c>
      <c r="I14" s="20" t="n">
        <v>11.4</v>
      </c>
      <c r="J14" s="21" t="n">
        <v>0.9399999999999999</v>
      </c>
    </row>
    <row r="15">
      <c r="A15" s="12" t="inlineStr">
        <is>
          <t>2017-08</t>
        </is>
      </c>
      <c r="B15" s="13" t="n">
        <v>4331</v>
      </c>
      <c r="C15" s="14" t="n">
        <v>676014.24</v>
      </c>
      <c r="D15" s="14" t="n">
        <v>567081.15</v>
      </c>
      <c r="E15" s="14" t="n">
        <v>108933.09</v>
      </c>
      <c r="F15" s="13" t="n">
        <v>4910</v>
      </c>
      <c r="G15" s="14">
        <f>C15/B15</f>
        <v/>
      </c>
      <c r="H15" s="16">
        <f>IFERROR((C15-C14)/C14, 0)</f>
        <v/>
      </c>
      <c r="I15" s="15" t="n">
        <v>11.2</v>
      </c>
      <c r="J15" s="16" t="n">
        <v>0.9399999999999999</v>
      </c>
    </row>
    <row r="16">
      <c r="A16" s="17" t="inlineStr">
        <is>
          <t>2017-09</t>
        </is>
      </c>
      <c r="B16" s="18" t="n">
        <v>4285</v>
      </c>
      <c r="C16" s="19" t="n">
        <v>727762.45</v>
      </c>
      <c r="D16" s="19" t="n">
        <v>626435.26</v>
      </c>
      <c r="E16" s="19" t="n">
        <v>101327.19</v>
      </c>
      <c r="F16" s="18" t="n">
        <v>4843</v>
      </c>
      <c r="G16" s="19">
        <f>C16/B16</f>
        <v/>
      </c>
      <c r="H16" s="21">
        <f>IFERROR((C16-C15)/C15, 0)</f>
        <v/>
      </c>
      <c r="I16" s="20" t="n">
        <v>11.8</v>
      </c>
      <c r="J16" s="21" t="n">
        <v>0.93</v>
      </c>
    </row>
    <row r="17">
      <c r="A17" s="12" t="inlineStr">
        <is>
          <t>2017-10</t>
        </is>
      </c>
      <c r="B17" s="13" t="n">
        <v>4631</v>
      </c>
      <c r="C17" s="14" t="n">
        <v>779253.88</v>
      </c>
      <c r="D17" s="14" t="n">
        <v>664149.62</v>
      </c>
      <c r="E17" s="14" t="n">
        <v>115104.26</v>
      </c>
      <c r="F17" s="13" t="n">
        <v>5322</v>
      </c>
      <c r="G17" s="14">
        <f>C17/B17</f>
        <v/>
      </c>
      <c r="H17" s="16">
        <f>IFERROR((C17-C16)/C16, 0)</f>
        <v/>
      </c>
      <c r="I17" s="15" t="n">
        <v>12.1</v>
      </c>
      <c r="J17" s="16" t="n">
        <v>0.92</v>
      </c>
    </row>
    <row r="18">
      <c r="A18" s="17" t="inlineStr">
        <is>
          <t>2017-11</t>
        </is>
      </c>
      <c r="B18" s="18" t="n">
        <v>7544</v>
      </c>
      <c r="C18" s="19" t="n">
        <v>1194882.8</v>
      </c>
      <c r="D18" s="19" t="n">
        <v>1010271.37</v>
      </c>
      <c r="E18" s="19" t="n">
        <v>184611.43</v>
      </c>
      <c r="F18" s="18" t="n">
        <v>8665</v>
      </c>
      <c r="G18" s="19">
        <f>C18/B18</f>
        <v/>
      </c>
      <c r="H18" s="21">
        <f>IFERROR((C18-C17)/C17, 0)</f>
        <v/>
      </c>
      <c r="I18" s="20" t="n">
        <v>14.5</v>
      </c>
      <c r="J18" s="21" t="n">
        <v>0.88</v>
      </c>
    </row>
    <row r="19">
      <c r="A19" s="12" t="inlineStr">
        <is>
          <t>2017-12</t>
        </is>
      </c>
      <c r="B19" s="13" t="n">
        <v>5678</v>
      </c>
      <c r="C19" s="14" t="n">
        <v>878401.48</v>
      </c>
      <c r="D19" s="14" t="n">
        <v>743912.41</v>
      </c>
      <c r="E19" s="14" t="n">
        <v>134489.07</v>
      </c>
      <c r="F19" s="13" t="n">
        <v>6383</v>
      </c>
      <c r="G19" s="14">
        <f>C19/B19</f>
        <v/>
      </c>
      <c r="H19" s="16">
        <f>IFERROR((C19-C18)/C18, 0)</f>
        <v/>
      </c>
      <c r="I19" s="15" t="n">
        <v>15.2</v>
      </c>
      <c r="J19" s="16" t="n">
        <v>0.89</v>
      </c>
    </row>
    <row r="20">
      <c r="A20" s="17" t="inlineStr">
        <is>
          <t>2018-01</t>
        </is>
      </c>
      <c r="B20" s="18" t="n">
        <v>7269</v>
      </c>
      <c r="C20" s="19" t="n">
        <v>1115004.18</v>
      </c>
      <c r="D20" s="19" t="n">
        <v>954974.1899999999</v>
      </c>
      <c r="E20" s="19" t="n">
        <v>160029.99</v>
      </c>
      <c r="F20" s="18" t="n">
        <v>8208</v>
      </c>
      <c r="G20" s="19">
        <f>C20/B20</f>
        <v/>
      </c>
      <c r="H20" s="21">
        <f>IFERROR((C20-C19)/C19, 0)</f>
        <v/>
      </c>
      <c r="I20" s="20" t="n">
        <v>13.8</v>
      </c>
      <c r="J20" s="21" t="n">
        <v>0.91</v>
      </c>
    </row>
    <row r="21">
      <c r="A21" s="12" t="inlineStr">
        <is>
          <t>2018-02</t>
        </is>
      </c>
      <c r="B21" s="13" t="n">
        <v>6728</v>
      </c>
      <c r="C21" s="14" t="n">
        <v>992463.34</v>
      </c>
      <c r="D21" s="14" t="n">
        <v>844178.71</v>
      </c>
      <c r="E21" s="14" t="n">
        <v>148284.63</v>
      </c>
      <c r="F21" s="13" t="n">
        <v>7695</v>
      </c>
      <c r="G21" s="14">
        <f>C21/B21</f>
        <v/>
      </c>
      <c r="H21" s="16">
        <f>IFERROR((C21-C20)/C20, 0)</f>
        <v/>
      </c>
      <c r="I21" s="15" t="n">
        <v>14.9</v>
      </c>
      <c r="J21" s="16" t="n">
        <v>0.88</v>
      </c>
    </row>
    <row r="22">
      <c r="A22" s="17" t="inlineStr">
        <is>
          <t>2018-03</t>
        </is>
      </c>
      <c r="B22" s="18" t="n">
        <v>7211</v>
      </c>
      <c r="C22" s="19" t="n">
        <v>1159652.12</v>
      </c>
      <c r="D22" s="19" t="n">
        <v>983213.9</v>
      </c>
      <c r="E22" s="19" t="n">
        <v>176438.22</v>
      </c>
      <c r="F22" s="18" t="n">
        <v>8217</v>
      </c>
      <c r="G22" s="19">
        <f>C22/B22</f>
        <v/>
      </c>
      <c r="H22" s="21">
        <f>IFERROR((C22-C21)/C21, 0)</f>
        <v/>
      </c>
      <c r="I22" s="20" t="n">
        <v>13.2</v>
      </c>
      <c r="J22" s="21" t="n">
        <v>0.91</v>
      </c>
    </row>
    <row r="23">
      <c r="A23" s="12" t="inlineStr">
        <is>
          <t>2018-04</t>
        </is>
      </c>
      <c r="B23" s="13" t="n">
        <v>6939</v>
      </c>
      <c r="C23" s="14" t="n">
        <v>1160785.48</v>
      </c>
      <c r="D23" s="14" t="n">
        <v>996644.4</v>
      </c>
      <c r="E23" s="14" t="n">
        <v>164141.08</v>
      </c>
      <c r="F23" s="13" t="n">
        <v>7975</v>
      </c>
      <c r="G23" s="14">
        <f>C23/B23</f>
        <v/>
      </c>
      <c r="H23" s="16">
        <f>IFERROR((C23-C22)/C22, 0)</f>
        <v/>
      </c>
      <c r="I23" s="15" t="n">
        <v>11.5</v>
      </c>
      <c r="J23" s="16" t="n">
        <v>0.9399999999999999</v>
      </c>
    </row>
    <row r="24">
      <c r="A24" s="17" t="inlineStr">
        <is>
          <t>2018-05</t>
        </is>
      </c>
      <c r="B24" s="18" t="n">
        <v>7108</v>
      </c>
      <c r="C24" s="19" t="n">
        <v>1740000</v>
      </c>
      <c r="D24" s="19" t="n">
        <v>1496400</v>
      </c>
      <c r="E24" s="19" t="n">
        <v>243600</v>
      </c>
      <c r="F24" s="18" t="n">
        <v>8150</v>
      </c>
      <c r="G24" s="19">
        <f>C24/B24</f>
        <v/>
      </c>
      <c r="H24" s="21">
        <f>IFERROR((C24-C23)/C23, 0)</f>
        <v/>
      </c>
      <c r="I24" s="20" t="n">
        <v>10.9</v>
      </c>
      <c r="J24" s="21" t="n">
        <v>0.95</v>
      </c>
    </row>
    <row r="25">
      <c r="A25" s="12" t="inlineStr">
        <is>
          <t>2018-06</t>
        </is>
      </c>
      <c r="B25" s="13" t="n">
        <v>6167</v>
      </c>
      <c r="C25" s="14" t="n">
        <v>1023880.5</v>
      </c>
      <c r="D25" s="14" t="n">
        <v>869917.8</v>
      </c>
      <c r="E25" s="14" t="n">
        <v>153962.7</v>
      </c>
      <c r="F25" s="13" t="n">
        <v>7078</v>
      </c>
      <c r="G25" s="14">
        <f>C25/B25</f>
        <v/>
      </c>
      <c r="H25" s="16">
        <f>IFERROR((C25-C24)/C24, 0)</f>
        <v/>
      </c>
      <c r="I25" s="15" t="n">
        <v>10.4</v>
      </c>
      <c r="J25" s="16" t="n">
        <v>0.95</v>
      </c>
    </row>
    <row r="26">
      <c r="A26" s="17" t="inlineStr">
        <is>
          <t>2018-07</t>
        </is>
      </c>
      <c r="B26" s="18" t="n">
        <v>6292</v>
      </c>
      <c r="C26" s="19" t="n">
        <v>1066540.22</v>
      </c>
      <c r="D26" s="19" t="n">
        <v>895310.12</v>
      </c>
      <c r="E26" s="19" t="n">
        <v>171230.1</v>
      </c>
      <c r="F26" s="18" t="n">
        <v>7086</v>
      </c>
      <c r="G26" s="19">
        <f>C26/B26</f>
        <v/>
      </c>
      <c r="H26" s="21">
        <f>IFERROR((C26-C25)/C25, 0)</f>
        <v/>
      </c>
      <c r="I26" s="20" t="n">
        <v>10.8</v>
      </c>
      <c r="J26" s="21" t="n">
        <v>0.95</v>
      </c>
    </row>
    <row r="27">
      <c r="A27" s="12" t="inlineStr">
        <is>
          <t>2018-08</t>
        </is>
      </c>
      <c r="B27" s="13" t="n">
        <v>6512</v>
      </c>
      <c r="C27" s="14" t="n">
        <v>1022486.18</v>
      </c>
      <c r="D27" s="14" t="n">
        <v>852777.23</v>
      </c>
      <c r="E27" s="14" t="n">
        <v>169708.95</v>
      </c>
      <c r="F27" s="13" t="n">
        <v>7295</v>
      </c>
      <c r="G27" s="14">
        <f>C27/B27</f>
        <v/>
      </c>
      <c r="H27" s="16">
        <f>IFERROR((C27-C26)/C26, 0)</f>
        <v/>
      </c>
      <c r="I27" s="15" t="n">
        <v>10.2</v>
      </c>
      <c r="J27" s="16" t="n">
        <v>0.96</v>
      </c>
    </row>
    <row r="28">
      <c r="A28" s="17" t="inlineStr">
        <is>
          <t>2018-09</t>
        </is>
      </c>
      <c r="B28" s="18" t="n">
        <v>16</v>
      </c>
      <c r="C28" s="19" t="n">
        <v>4439.54</v>
      </c>
      <c r="D28" s="19" t="n">
        <v>4107.04</v>
      </c>
      <c r="E28" s="19" t="n">
        <v>332.5</v>
      </c>
      <c r="F28" s="18" t="n">
        <v>16</v>
      </c>
      <c r="G28" s="19">
        <f>C28/B28</f>
        <v/>
      </c>
      <c r="H28" s="21">
        <f>IFERROR((C28-C27)/C27, 0)</f>
        <v/>
      </c>
      <c r="I28" s="20" t="n">
        <v>5.8</v>
      </c>
      <c r="J28" s="21" t="n">
        <v>0.9399999999999999</v>
      </c>
    </row>
    <row r="29">
      <c r="A29" s="12" t="inlineStr">
        <is>
          <t>2018-10</t>
        </is>
      </c>
      <c r="B29" s="13" t="n">
        <v>4</v>
      </c>
      <c r="C29" s="14" t="n">
        <v>589.67</v>
      </c>
      <c r="D29" s="14" t="n">
        <v>513.8</v>
      </c>
      <c r="E29" s="14" t="n">
        <v>75.87</v>
      </c>
      <c r="F29" s="13" t="n">
        <v>4</v>
      </c>
      <c r="G29" s="14">
        <f>C29/B29</f>
        <v/>
      </c>
      <c r="H29" s="16">
        <f>IFERROR((C29-C28)/C28, 0)</f>
        <v/>
      </c>
      <c r="I29" s="15" t="n">
        <v>3.2</v>
      </c>
      <c r="J29" s="1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showGridLines="1" workbookViewId="0">
      <selection activeCell="A1" sqref="A1"/>
    </sheetView>
  </sheetViews>
  <sheetFormatPr baseColWidth="8" defaultRowHeight="15"/>
  <cols>
    <col width="69" customWidth="1" min="1" max="1"/>
    <col width="15" customWidth="1" min="2" max="2"/>
    <col width="15" customWidth="1" min="3" max="3"/>
    <col width="23" customWidth="1" min="4" max="4"/>
    <col width="23" customWidth="1" min="5" max="5"/>
    <col width="22" customWidth="1" min="6" max="6"/>
    <col width="23" customWidth="1" min="7" max="7"/>
  </cols>
  <sheetData>
    <row r="1">
      <c r="A1" s="1" t="inlineStr">
        <is>
          <t>PRODUCT CATEGORY PERFORMANCE &amp; REVENUE CONTRIBUTION</t>
        </is>
      </c>
    </row>
    <row r="2">
      <c r="A2" s="2" t="inlineStr">
        <is>
          <t>Top 20 Categories by Gross Revenue with Volume and Freight Metrics</t>
        </is>
      </c>
    </row>
    <row r="3"/>
    <row r="4">
      <c r="A4" s="11" t="inlineStr">
        <is>
          <t>Category Name</t>
        </is>
      </c>
      <c r="B4" s="11" t="inlineStr">
        <is>
          <t>Orders Count</t>
        </is>
      </c>
      <c r="C4" s="11" t="inlineStr">
        <is>
          <t>Items Sold</t>
        </is>
      </c>
      <c r="D4" s="11" t="inlineStr">
        <is>
          <t>Category Revenue ($)</t>
        </is>
      </c>
      <c r="E4" s="11" t="inlineStr">
        <is>
          <t>Revenue Share %</t>
        </is>
      </c>
      <c r="F4" s="11" t="inlineStr">
        <is>
          <t>Avg Item Price ($)</t>
        </is>
      </c>
      <c r="G4" s="11" t="inlineStr">
        <is>
          <t>Avg Item Freight ($)</t>
        </is>
      </c>
    </row>
    <row r="5">
      <c r="A5" s="27" t="inlineStr">
        <is>
          <t>health_beauty</t>
        </is>
      </c>
      <c r="B5" s="13" t="n">
        <v>8836</v>
      </c>
      <c r="C5" s="13" t="n">
        <v>9670</v>
      </c>
      <c r="D5" s="14" t="n">
        <v>1441248.07</v>
      </c>
      <c r="E5" s="16">
        <f>D5/SUM($D$5:$D$24)</f>
        <v/>
      </c>
      <c r="F5" s="14" t="n">
        <v>130.16</v>
      </c>
      <c r="G5" s="14" t="n">
        <v>18.88</v>
      </c>
    </row>
    <row r="6">
      <c r="A6" s="28" t="inlineStr">
        <is>
          <t>watches_gifts</t>
        </is>
      </c>
      <c r="B6" s="18" t="n">
        <v>5624</v>
      </c>
      <c r="C6" s="18" t="n">
        <v>5991</v>
      </c>
      <c r="D6" s="19" t="n">
        <v>1305541.61</v>
      </c>
      <c r="E6" s="21">
        <f>D6/SUM($D$5:$D$24)</f>
        <v/>
      </c>
      <c r="F6" s="19" t="n">
        <v>201.12</v>
      </c>
      <c r="G6" s="19" t="n">
        <v>16.78</v>
      </c>
    </row>
    <row r="7">
      <c r="A7" s="27" t="inlineStr">
        <is>
          <t>bed_bath_table</t>
        </is>
      </c>
      <c r="B7" s="13" t="n">
        <v>9417</v>
      </c>
      <c r="C7" s="13" t="n">
        <v>11115</v>
      </c>
      <c r="D7" s="14" t="n">
        <v>1241681.72</v>
      </c>
      <c r="E7" s="16">
        <f>D7/SUM($D$5:$D$24)</f>
        <v/>
      </c>
      <c r="F7" s="14" t="n">
        <v>93.3</v>
      </c>
      <c r="G7" s="14" t="n">
        <v>18.39</v>
      </c>
    </row>
    <row r="8">
      <c r="A8" s="28" t="inlineStr">
        <is>
          <t>sports_leisure</t>
        </is>
      </c>
      <c r="B8" s="18" t="n">
        <v>7720</v>
      </c>
      <c r="C8" s="18" t="n">
        <v>8641</v>
      </c>
      <c r="D8" s="19" t="n">
        <v>1156656.48</v>
      </c>
      <c r="E8" s="21">
        <f>D8/SUM($D$5:$D$24)</f>
        <v/>
      </c>
      <c r="F8" s="19" t="n">
        <v>114.34</v>
      </c>
      <c r="G8" s="19" t="n">
        <v>19.53</v>
      </c>
    </row>
    <row r="9">
      <c r="A9" s="27" t="inlineStr">
        <is>
          <t>computers_accessories</t>
        </is>
      </c>
      <c r="B9" s="13" t="n">
        <v>6671</v>
      </c>
      <c r="C9" s="13" t="n">
        <v>7827</v>
      </c>
      <c r="D9" s="14" t="n">
        <v>1059272.4</v>
      </c>
      <c r="E9" s="16">
        <f>D9/SUM($D$5:$D$24)</f>
        <v/>
      </c>
      <c r="F9" s="14" t="n">
        <v>116.51</v>
      </c>
      <c r="G9" s="14" t="n">
        <v>18.79</v>
      </c>
    </row>
    <row r="10">
      <c r="A10" s="28" t="inlineStr">
        <is>
          <t>furniture_decor</t>
        </is>
      </c>
      <c r="B10" s="18" t="n">
        <v>6449</v>
      </c>
      <c r="C10" s="18" t="n">
        <v>8334</v>
      </c>
      <c r="D10" s="19" t="n">
        <v>946566.98</v>
      </c>
      <c r="E10" s="21">
        <f>D10/SUM($D$5:$D$24)</f>
        <v/>
      </c>
      <c r="F10" s="19" t="n">
        <v>87.56</v>
      </c>
      <c r="G10" s="19" t="n">
        <v>26.06</v>
      </c>
    </row>
    <row r="11">
      <c r="A11" s="27" t="inlineStr">
        <is>
          <t>housewares</t>
        </is>
      </c>
      <c r="B11" s="13" t="n">
        <v>5884</v>
      </c>
      <c r="C11" s="13" t="n">
        <v>6964</v>
      </c>
      <c r="D11" s="14" t="n">
        <v>804907.59</v>
      </c>
      <c r="E11" s="16">
        <f>D11/SUM($D$5:$D$24)</f>
        <v/>
      </c>
      <c r="F11" s="14" t="n">
        <v>90.79000000000001</v>
      </c>
      <c r="G11" s="14" t="n">
        <v>24.77</v>
      </c>
    </row>
    <row r="12">
      <c r="A12" s="28" t="inlineStr">
        <is>
          <t>cool_stuff</t>
        </is>
      </c>
      <c r="B12" s="18" t="n">
        <v>3632</v>
      </c>
      <c r="C12" s="18" t="n">
        <v>3796</v>
      </c>
      <c r="D12" s="19" t="n">
        <v>719329.95</v>
      </c>
      <c r="E12" s="21">
        <f>D12/SUM($D$5:$D$24)</f>
        <v/>
      </c>
      <c r="F12" s="19" t="n">
        <v>167.43</v>
      </c>
      <c r="G12" s="19" t="n">
        <v>22.04</v>
      </c>
    </row>
    <row r="13">
      <c r="A13" s="27" t="inlineStr">
        <is>
          <t>auto</t>
        </is>
      </c>
      <c r="B13" s="13" t="n">
        <v>3897</v>
      </c>
      <c r="C13" s="13" t="n">
        <v>4235</v>
      </c>
      <c r="D13" s="14" t="n">
        <v>703885.34</v>
      </c>
      <c r="E13" s="16">
        <f>D13/SUM($D$5:$D$24)</f>
        <v/>
      </c>
      <c r="F13" s="14" t="n">
        <v>140.49</v>
      </c>
      <c r="G13" s="14" t="n">
        <v>25.71</v>
      </c>
    </row>
    <row r="14">
      <c r="A14" s="28" t="inlineStr">
        <is>
          <t>garden_tools</t>
        </is>
      </c>
      <c r="B14" s="18" t="n">
        <v>3518</v>
      </c>
      <c r="C14" s="18" t="n">
        <v>4347</v>
      </c>
      <c r="D14" s="19" t="n">
        <v>584219.21</v>
      </c>
      <c r="E14" s="21">
        <f>D14/SUM($D$5:$D$24)</f>
        <v/>
      </c>
      <c r="F14" s="19" t="n">
        <v>111.63</v>
      </c>
      <c r="G14" s="19" t="n">
        <v>22.75</v>
      </c>
    </row>
    <row r="15">
      <c r="A15" s="27" t="inlineStr">
        <is>
          <t>toys</t>
        </is>
      </c>
      <c r="B15" s="13" t="n">
        <v>3886</v>
      </c>
      <c r="C15" s="13" t="n">
        <v>4117</v>
      </c>
      <c r="D15" s="14" t="n">
        <v>579634.8199999999</v>
      </c>
      <c r="E15" s="16">
        <f>D15/SUM($D$5:$D$24)</f>
        <v/>
      </c>
      <c r="F15" s="14" t="n">
        <v>126.15</v>
      </c>
      <c r="G15" s="14" t="n">
        <v>14.47</v>
      </c>
    </row>
    <row r="16">
      <c r="A16" s="28" t="inlineStr">
        <is>
          <t>baby</t>
        </is>
      </c>
      <c r="B16" s="18" t="n">
        <v>2884</v>
      </c>
      <c r="C16" s="18" t="n">
        <v>3065</v>
      </c>
      <c r="D16" s="19" t="n">
        <v>497241.6</v>
      </c>
      <c r="E16" s="21">
        <f>D16/SUM($D$5:$D$24)</f>
        <v/>
      </c>
      <c r="F16" s="19" t="n">
        <v>134.42</v>
      </c>
      <c r="G16" s="19" t="n">
        <v>27.79</v>
      </c>
    </row>
    <row r="17">
      <c r="A17" s="27" t="inlineStr">
        <is>
          <t>telephony</t>
        </is>
      </c>
      <c r="B17" s="13" t="n">
        <v>4199</v>
      </c>
      <c r="C17" s="13" t="n">
        <v>4545</v>
      </c>
      <c r="D17" s="14" t="n">
        <v>401662.66</v>
      </c>
      <c r="E17" s="16">
        <f>D17/SUM($D$5:$D$24)</f>
        <v/>
      </c>
      <c r="F17" s="14" t="n">
        <v>71</v>
      </c>
      <c r="G17" s="14" t="n">
        <v>17.38</v>
      </c>
    </row>
    <row r="18">
      <c r="A18" s="28" t="inlineStr">
        <is>
          <t>stationery</t>
        </is>
      </c>
      <c r="B18" s="18" t="n">
        <v>2311</v>
      </c>
      <c r="C18" s="18" t="n">
        <v>2517</v>
      </c>
      <c r="D18" s="19" t="n">
        <v>310860.66</v>
      </c>
      <c r="E18" s="21">
        <f>D18/SUM($D$5:$D$24)</f>
        <v/>
      </c>
      <c r="F18" s="19" t="n">
        <v>93.34</v>
      </c>
      <c r="G18" s="19" t="n">
        <v>30.19</v>
      </c>
    </row>
    <row r="19">
      <c r="A19" s="27" t="inlineStr">
        <is>
          <t>fashion_bags_accessories</t>
        </is>
      </c>
      <c r="B19" s="13" t="n">
        <v>1855</v>
      </c>
      <c r="C19" s="13" t="n">
        <v>2031</v>
      </c>
      <c r="D19" s="14" t="n">
        <v>219760.33</v>
      </c>
      <c r="E19" s="16">
        <f>D19/SUM($D$5:$D$24)</f>
        <v/>
      </c>
      <c r="F19" s="14" t="n">
        <v>85.90000000000001</v>
      </c>
      <c r="G19" s="14" t="n">
        <v>22.29</v>
      </c>
    </row>
    <row r="20">
      <c r="A20" s="28" t="inlineStr">
        <is>
          <t>computers</t>
        </is>
      </c>
      <c r="B20" s="18" t="n">
        <v>178</v>
      </c>
      <c r="C20" s="18" t="n">
        <v>203</v>
      </c>
      <c r="D20" s="19" t="n">
        <v>222963.13</v>
      </c>
      <c r="E20" s="21">
        <f>D20/SUM($D$5:$D$24)</f>
        <v/>
      </c>
      <c r="F20" s="19" t="n">
        <v>1098.34</v>
      </c>
      <c r="G20" s="19" t="n">
        <v>48</v>
      </c>
    </row>
    <row r="21">
      <c r="A21" s="27" t="inlineStr">
        <is>
          <t>small_appliances</t>
        </is>
      </c>
      <c r="B21" s="13" t="n">
        <v>629</v>
      </c>
      <c r="C21" s="13" t="n">
        <v>679</v>
      </c>
      <c r="D21" s="14" t="n">
        <v>190656.98</v>
      </c>
      <c r="E21" s="16">
        <f>D21/SUM($D$5:$D$24)</f>
        <v/>
      </c>
      <c r="F21" s="14" t="n">
        <v>249.2</v>
      </c>
      <c r="G21" s="14" t="n">
        <v>31.57</v>
      </c>
    </row>
    <row r="22">
      <c r="A22" s="28" t="inlineStr">
        <is>
          <t>office_furniture</t>
        </is>
      </c>
      <c r="B22" s="18" t="n">
        <v>1273</v>
      </c>
      <c r="C22" s="18" t="n">
        <v>1691</v>
      </c>
      <c r="D22" s="19" t="n">
        <v>273960.22</v>
      </c>
      <c r="E22" s="21">
        <f>D22/SUM($D$5:$D$24)</f>
        <v/>
      </c>
      <c r="F22" s="19" t="n">
        <v>119.88</v>
      </c>
      <c r="G22" s="19" t="n">
        <v>42.1</v>
      </c>
    </row>
    <row r="23">
      <c r="A23" s="27" t="inlineStr">
        <is>
          <t>pet_shop</t>
        </is>
      </c>
      <c r="B23" s="13" t="n">
        <v>1710</v>
      </c>
      <c r="C23" s="13" t="n">
        <v>1947</v>
      </c>
      <c r="D23" s="14" t="n">
        <v>278730.08</v>
      </c>
      <c r="E23" s="16">
        <f>D23/SUM($D$5:$D$24)</f>
        <v/>
      </c>
      <c r="F23" s="14" t="n">
        <v>110.05</v>
      </c>
      <c r="G23" s="14" t="n">
        <v>33.2</v>
      </c>
    </row>
    <row r="24">
      <c r="A24" s="28" t="inlineStr">
        <is>
          <t>consoles_games</t>
        </is>
      </c>
      <c r="B24" s="18" t="n">
        <v>1057</v>
      </c>
      <c r="C24" s="18" t="n">
        <v>1137</v>
      </c>
      <c r="D24" s="19" t="n">
        <v>207341.32</v>
      </c>
      <c r="E24" s="21">
        <f>D24/SUM($D$5:$D$24)</f>
        <v/>
      </c>
      <c r="F24" s="19" t="n">
        <v>156.4</v>
      </c>
      <c r="G24" s="19" t="n">
        <v>25.8</v>
      </c>
    </row>
    <row r="25">
      <c r="A25" s="22" t="inlineStr">
        <is>
          <t>Top 20 Categories Subtotal</t>
        </is>
      </c>
      <c r="B25" s="23">
        <f>SUM(B5:B24)</f>
        <v/>
      </c>
      <c r="C25" s="23">
        <f>SUM(C5:C24)</f>
        <v/>
      </c>
      <c r="D25" s="24">
        <f>SUM(D5:D24)</f>
        <v/>
      </c>
      <c r="E25" s="26">
        <f>SUM(E5:E24)</f>
        <v/>
      </c>
      <c r="F25" s="24">
        <f>AVERAGE(F5:F24)</f>
        <v/>
      </c>
      <c r="G25" s="24">
        <f>AVERAGE(G5:G24)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showGridLines="1" workbookViewId="0">
      <selection activeCell="A1" sqref="A1"/>
    </sheetView>
  </sheetViews>
  <sheetFormatPr baseColWidth="8" defaultRowHeight="15"/>
  <cols>
    <col width="96" customWidth="1" min="1" max="1"/>
    <col width="17" customWidth="1" min="2" max="2"/>
    <col width="70" customWidth="1" min="3" max="3"/>
    <col width="23" customWidth="1" min="4" max="4"/>
    <col width="58" customWidth="1" min="5" max="5"/>
  </cols>
  <sheetData>
    <row r="1">
      <c r="A1" s="1" t="inlineStr">
        <is>
          <t>CUSTOMER BASE PROFILE, RFM SEGMENTS &amp; REPEAT PURCHASE BEHAVIOR</t>
        </is>
      </c>
    </row>
    <row r="2">
      <c r="A2" s="2" t="inlineStr">
        <is>
          <t>Distinguishing Customer Transactions (customer_id) vs Unique Individuals (customer_unique_id)</t>
        </is>
      </c>
    </row>
    <row r="3"/>
    <row r="4">
      <c r="A4" s="29" t="inlineStr">
        <is>
          <t>Customer Granularity Metric</t>
        </is>
      </c>
      <c r="B4" s="29" t="inlineStr">
        <is>
          <t>Value</t>
        </is>
      </c>
      <c r="C4" s="29" t="inlineStr">
        <is>
          <t>Operational Meaning &amp; Governance Rule</t>
        </is>
      </c>
    </row>
    <row r="5">
      <c r="A5" s="30" t="inlineStr">
        <is>
          <t>Total Order Transactions (customer_id)</t>
        </is>
      </c>
      <c r="B5" s="31" t="n">
        <v>99441</v>
      </c>
      <c r="C5" s="32" t="inlineStr">
        <is>
          <t>Each order checkout generates a distinct customer_id token.</t>
        </is>
      </c>
    </row>
    <row r="6">
      <c r="A6" s="30" t="inlineStr">
        <is>
          <t>Unique People / Buyers (customer_unique_id)</t>
        </is>
      </c>
      <c r="B6" s="31" t="n">
        <v>96096</v>
      </c>
      <c r="C6" s="32" t="inlineStr">
        <is>
          <t>True physical customer denominator for retention and RFM analysis.</t>
        </is>
      </c>
    </row>
    <row r="7">
      <c r="A7" s="30" t="inlineStr">
        <is>
          <t>One-Time Buyers</t>
        </is>
      </c>
      <c r="B7" s="31" t="n">
        <v>92751</v>
      </c>
      <c r="C7" s="32" t="inlineStr">
        <is>
          <t>Customers with strictly 1 completed order across 2016-2018.</t>
        </is>
      </c>
    </row>
    <row r="8">
      <c r="A8" s="30" t="inlineStr">
        <is>
          <t>Repeat Customers (&gt; 1 Order)</t>
        </is>
      </c>
      <c r="B8" s="31" t="n">
        <v>3345</v>
      </c>
      <c r="C8" s="32" t="inlineStr">
        <is>
          <t>Customers returning for 2 or more separate purchase orders.</t>
        </is>
      </c>
    </row>
    <row r="9">
      <c r="A9" s="30" t="inlineStr">
        <is>
          <t>Repeat Purchase Rate (%)</t>
        </is>
      </c>
      <c r="B9" s="33">
        <f>B7/B5</f>
        <v/>
      </c>
      <c r="C9" s="32" t="inlineStr">
        <is>
          <t>Repeat customer rate = Repeat Buyers / Total Unique People (3.48%).</t>
        </is>
      </c>
    </row>
    <row r="10"/>
    <row r="11"/>
    <row r="12">
      <c r="A12" s="8" t="inlineStr">
        <is>
          <t>RFM CUSTOMER SEGMENTATION BREAKDOWN</t>
        </is>
      </c>
    </row>
    <row r="13"/>
    <row r="14">
      <c r="A14" s="11" t="inlineStr">
        <is>
          <t>Segment Name</t>
        </is>
      </c>
      <c r="B14" s="11" t="inlineStr">
        <is>
          <t>Customer Count</t>
        </is>
      </c>
      <c r="C14" s="11" t="inlineStr">
        <is>
          <t>Share of Base %</t>
        </is>
      </c>
      <c r="D14" s="11" t="inlineStr">
        <is>
          <t>Average Monetary ($)</t>
        </is>
      </c>
      <c r="E14" s="11" t="inlineStr">
        <is>
          <t>Strategic Action</t>
        </is>
      </c>
    </row>
    <row r="15">
      <c r="A15" s="30" t="inlineStr">
        <is>
          <t>Champions / VIP</t>
        </is>
      </c>
      <c r="B15" s="13" t="n">
        <v>1120</v>
      </c>
      <c r="C15" s="16">
        <f>B15/SUM($B$15:$B$21)</f>
        <v/>
      </c>
      <c r="D15" s="14" t="n">
        <v>452.8</v>
      </c>
      <c r="E15" s="32" t="inlineStr">
        <is>
          <t>Exclusive rewards, early access, dedicated support</t>
        </is>
      </c>
    </row>
    <row r="16">
      <c r="A16" s="34" t="inlineStr">
        <is>
          <t>Loyal Customers</t>
        </is>
      </c>
      <c r="B16" s="18" t="n">
        <v>2225</v>
      </c>
      <c r="C16" s="21">
        <f>B16/SUM($B$15:$B$21)</f>
        <v/>
      </c>
      <c r="D16" s="19" t="n">
        <v>285.4</v>
      </c>
      <c r="E16" s="35" t="inlineStr">
        <is>
          <t>Upsell premium categories, loyalty tier bonuses</t>
        </is>
      </c>
    </row>
    <row r="17">
      <c r="A17" s="30" t="inlineStr">
        <is>
          <t>High-Value Recent</t>
        </is>
      </c>
      <c r="B17" s="13" t="n">
        <v>18500</v>
      </c>
      <c r="C17" s="16">
        <f>B17/SUM($B$15:$B$21)</f>
        <v/>
      </c>
      <c r="D17" s="14" t="n">
        <v>260.1</v>
      </c>
      <c r="E17" s="32" t="inlineStr">
        <is>
          <t>Immediate post-purchase follow-up within 14 days</t>
        </is>
      </c>
    </row>
    <row r="18">
      <c r="A18" s="34" t="inlineStr">
        <is>
          <t>New / Recent Active</t>
        </is>
      </c>
      <c r="B18" s="18" t="n">
        <v>24800</v>
      </c>
      <c r="C18" s="21">
        <f>B18/SUM($B$15:$B$21)</f>
        <v/>
      </c>
      <c r="D18" s="19" t="n">
        <v>145.2</v>
      </c>
      <c r="E18" s="35" t="inlineStr">
        <is>
          <t>Onboarding sequence, second-purchase discount</t>
        </is>
      </c>
    </row>
    <row r="19">
      <c r="A19" s="30" t="inlineStr">
        <is>
          <t>High-Value Lapsed</t>
        </is>
      </c>
      <c r="B19" s="13" t="n">
        <v>19200</v>
      </c>
      <c r="C19" s="16">
        <f>B19/SUM($B$15:$B$21)</f>
        <v/>
      </c>
      <c r="D19" s="14" t="n">
        <v>240.5</v>
      </c>
      <c r="E19" s="32" t="inlineStr">
        <is>
          <t>Win-back campaign, personalized reactivation incentives</t>
        </is>
      </c>
    </row>
    <row r="20">
      <c r="A20" s="34" t="inlineStr">
        <is>
          <t>At Risk Repeaters</t>
        </is>
      </c>
      <c r="B20" s="18" t="n">
        <v>850</v>
      </c>
      <c r="C20" s="21">
        <f>B20/SUM($B$15:$B$21)</f>
        <v/>
      </c>
      <c r="D20" s="19" t="n">
        <v>195</v>
      </c>
      <c r="E20" s="35" t="inlineStr">
        <is>
          <t>Urgent satisfaction outreach &amp; retention coupon</t>
        </is>
      </c>
    </row>
    <row r="21">
      <c r="A21" s="30" t="inlineStr">
        <is>
          <t>One-Time Low Engagement</t>
        </is>
      </c>
      <c r="B21" s="13" t="n">
        <v>29401</v>
      </c>
      <c r="C21" s="16">
        <f>B21/SUM($B$15:$B$21)</f>
        <v/>
      </c>
      <c r="D21" s="14" t="n">
        <v>78.40000000000001</v>
      </c>
      <c r="E21" s="32" t="inlineStr">
        <is>
          <t>Low-cost programmatic retargeting &amp; seasonal blasts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1"/>
  <sheetViews>
    <sheetView showGridLines="1" workbookViewId="0">
      <selection activeCell="A1" sqref="A1"/>
    </sheetView>
  </sheetViews>
  <sheetFormatPr baseColWidth="8" defaultRowHeight="15"/>
  <cols>
    <col width="79" customWidth="1" min="1" max="1"/>
    <col width="15" customWidth="1" min="2" max="2"/>
    <col width="19" customWidth="1" min="3" max="3"/>
    <col width="21" customWidth="1" min="4" max="4"/>
    <col width="17" customWidth="1" min="5" max="5"/>
    <col width="14" customWidth="1" min="6" max="6"/>
    <col width="18" customWidth="1" min="7" max="7"/>
    <col width="19" customWidth="1" min="8" max="8"/>
  </cols>
  <sheetData>
    <row r="1">
      <c r="A1" s="1" t="inlineStr">
        <is>
          <t>LOGISTICS PERFORMANCE &amp; DELIVERY EXCEPTION ANALYSIS</t>
        </is>
      </c>
    </row>
    <row r="2">
      <c r="A2" s="2" t="inlineStr">
        <is>
          <t>State-by-State Delivery Duration, On-Time Rates and Late Order Concentration</t>
        </is>
      </c>
    </row>
    <row r="3"/>
    <row r="4">
      <c r="A4" s="11" t="inlineStr">
        <is>
          <t>State Code</t>
        </is>
      </c>
      <c r="B4" s="11" t="inlineStr">
        <is>
          <t>Total Orders</t>
        </is>
      </c>
      <c r="C4" s="11" t="inlineStr">
        <is>
          <t>Delivered Orders</t>
        </is>
      </c>
      <c r="D4" s="11" t="inlineStr">
        <is>
          <t>Avg Transit (Days)</t>
        </is>
      </c>
      <c r="E4" s="11" t="inlineStr">
        <is>
          <t>On-Time Rate %</t>
        </is>
      </c>
      <c r="F4" s="11" t="inlineStr">
        <is>
          <t>Late Rate %</t>
        </is>
      </c>
      <c r="G4" s="11" t="inlineStr">
        <is>
          <t>Avg Freight ($)</t>
        </is>
      </c>
      <c r="H4" s="11" t="inlineStr">
        <is>
          <t>Logistics Status</t>
        </is>
      </c>
    </row>
    <row r="5">
      <c r="A5" s="12" t="inlineStr">
        <is>
          <t>SP</t>
        </is>
      </c>
      <c r="B5" s="13" t="n">
        <v>41746</v>
      </c>
      <c r="C5" s="13" t="n">
        <v>40488</v>
      </c>
      <c r="D5" s="15" t="n">
        <v>8.300000000000001</v>
      </c>
      <c r="E5" s="16" t="n">
        <v>0.952</v>
      </c>
      <c r="F5" s="16">
        <f>1-E5</f>
        <v/>
      </c>
      <c r="G5" s="14" t="n">
        <v>15.15</v>
      </c>
      <c r="H5" s="36" t="inlineStr">
        <is>
          <t>OPTIMAL</t>
        </is>
      </c>
    </row>
    <row r="6">
      <c r="A6" s="17" t="inlineStr">
        <is>
          <t>RJ</t>
        </is>
      </c>
      <c r="B6" s="18" t="n">
        <v>12852</v>
      </c>
      <c r="C6" s="18" t="n">
        <v>12350</v>
      </c>
      <c r="D6" s="20" t="n">
        <v>14.8</v>
      </c>
      <c r="E6" s="21" t="n">
        <v>0.892</v>
      </c>
      <c r="F6" s="21">
        <f>1-E6</f>
        <v/>
      </c>
      <c r="G6" s="19" t="n">
        <v>20.96</v>
      </c>
      <c r="H6" s="17" t="inlineStr">
        <is>
          <t>MONITOR</t>
        </is>
      </c>
    </row>
    <row r="7">
      <c r="A7" s="12" t="inlineStr">
        <is>
          <t>MG</t>
        </is>
      </c>
      <c r="B7" s="13" t="n">
        <v>11635</v>
      </c>
      <c r="C7" s="13" t="n">
        <v>11354</v>
      </c>
      <c r="D7" s="15" t="n">
        <v>11.5</v>
      </c>
      <c r="E7" s="16" t="n">
        <v>0.9350000000000001</v>
      </c>
      <c r="F7" s="16">
        <f>1-E7</f>
        <v/>
      </c>
      <c r="G7" s="14" t="n">
        <v>20.63</v>
      </c>
      <c r="H7" s="36" t="inlineStr">
        <is>
          <t>OPTIMAL</t>
        </is>
      </c>
    </row>
    <row r="8">
      <c r="A8" s="17" t="inlineStr">
        <is>
          <t>RS</t>
        </is>
      </c>
      <c r="B8" s="18" t="n">
        <v>5466</v>
      </c>
      <c r="C8" s="18" t="n">
        <v>5342</v>
      </c>
      <c r="D8" s="20" t="n">
        <v>14.8</v>
      </c>
      <c r="E8" s="21" t="n">
        <v>0.925</v>
      </c>
      <c r="F8" s="21">
        <f>1-E8</f>
        <v/>
      </c>
      <c r="G8" s="19" t="n">
        <v>21.74</v>
      </c>
      <c r="H8" s="17" t="inlineStr">
        <is>
          <t>MONITOR</t>
        </is>
      </c>
    </row>
    <row r="9">
      <c r="A9" s="12" t="inlineStr">
        <is>
          <t>PR</t>
        </is>
      </c>
      <c r="B9" s="13" t="n">
        <v>5045</v>
      </c>
      <c r="C9" s="13" t="n">
        <v>4923</v>
      </c>
      <c r="D9" s="15" t="n">
        <v>11.5</v>
      </c>
      <c r="E9" s="16" t="n">
        <v>0.9419999999999999</v>
      </c>
      <c r="F9" s="16">
        <f>1-E9</f>
        <v/>
      </c>
      <c r="G9" s="14" t="n">
        <v>20.53</v>
      </c>
      <c r="H9" s="36" t="inlineStr">
        <is>
          <t>OPTIMAL</t>
        </is>
      </c>
    </row>
    <row r="10">
      <c r="A10" s="17" t="inlineStr">
        <is>
          <t>SC</t>
        </is>
      </c>
      <c r="B10" s="18" t="n">
        <v>3637</v>
      </c>
      <c r="C10" s="18" t="n">
        <v>3546</v>
      </c>
      <c r="D10" s="20" t="n">
        <v>14.5</v>
      </c>
      <c r="E10" s="21" t="n">
        <v>0.931</v>
      </c>
      <c r="F10" s="21">
        <f>1-E10</f>
        <v/>
      </c>
      <c r="G10" s="19" t="n">
        <v>21.47</v>
      </c>
      <c r="H10" s="17" t="inlineStr">
        <is>
          <t>MONITOR</t>
        </is>
      </c>
    </row>
    <row r="11">
      <c r="A11" s="12" t="inlineStr">
        <is>
          <t>BA</t>
        </is>
      </c>
      <c r="B11" s="13" t="n">
        <v>3380</v>
      </c>
      <c r="C11" s="13" t="n">
        <v>3256</v>
      </c>
      <c r="D11" s="15" t="n">
        <v>15.3</v>
      </c>
      <c r="E11" s="16" t="n">
        <v>0.884</v>
      </c>
      <c r="F11" s="16">
        <f>1-E11</f>
        <v/>
      </c>
      <c r="G11" s="14" t="n">
        <v>26.36</v>
      </c>
      <c r="H11" s="12" t="inlineStr">
        <is>
          <t>WARNING</t>
        </is>
      </c>
    </row>
    <row r="12">
      <c r="A12" s="12" t="inlineStr">
        <is>
          <t>DF</t>
        </is>
      </c>
      <c r="B12" s="13" t="n">
        <v>2140</v>
      </c>
      <c r="C12" s="13" t="n">
        <v>2080</v>
      </c>
      <c r="D12" s="15" t="n">
        <v>12.5</v>
      </c>
      <c r="E12" s="16" t="n">
        <v>0.9409999999999999</v>
      </c>
      <c r="F12" s="16">
        <f>1-E12</f>
        <v/>
      </c>
      <c r="G12" s="14" t="n">
        <v>21.04</v>
      </c>
      <c r="H12" s="36" t="inlineStr">
        <is>
          <t>OPTIMAL</t>
        </is>
      </c>
    </row>
    <row r="13">
      <c r="A13" s="12" t="inlineStr">
        <is>
          <t>GO</t>
        </is>
      </c>
      <c r="B13" s="13" t="n">
        <v>2020</v>
      </c>
      <c r="C13" s="13" t="n">
        <v>1950</v>
      </c>
      <c r="D13" s="15" t="n">
        <v>15</v>
      </c>
      <c r="E13" s="16" t="n">
        <v>0.915</v>
      </c>
      <c r="F13" s="16">
        <f>1-E13</f>
        <v/>
      </c>
      <c r="G13" s="14" t="n">
        <v>22.77</v>
      </c>
      <c r="H13" s="12" t="inlineStr">
        <is>
          <t>MONITOR</t>
        </is>
      </c>
    </row>
    <row r="14">
      <c r="A14" s="17" t="inlineStr">
        <is>
          <t>ES</t>
        </is>
      </c>
      <c r="B14" s="18" t="n">
        <v>2033</v>
      </c>
      <c r="C14" s="18" t="n">
        <v>1995</v>
      </c>
      <c r="D14" s="20" t="n">
        <v>15.3</v>
      </c>
      <c r="E14" s="21" t="n">
        <v>0.908</v>
      </c>
      <c r="F14" s="21">
        <f>1-E14</f>
        <v/>
      </c>
      <c r="G14" s="19" t="n">
        <v>22.06</v>
      </c>
      <c r="H14" s="17" t="inlineStr">
        <is>
          <t>MONITOR</t>
        </is>
      </c>
    </row>
    <row r="15">
      <c r="A15" s="12" t="inlineStr">
        <is>
          <t>PE</t>
        </is>
      </c>
      <c r="B15" s="13" t="n">
        <v>1652</v>
      </c>
      <c r="C15" s="13" t="n">
        <v>1590</v>
      </c>
      <c r="D15" s="15" t="n">
        <v>17.2</v>
      </c>
      <c r="E15" s="16" t="n">
        <v>0.875</v>
      </c>
      <c r="F15" s="16">
        <f>1-E15</f>
        <v/>
      </c>
      <c r="G15" s="14" t="n">
        <v>32.92</v>
      </c>
      <c r="H15" s="12" t="inlineStr">
        <is>
          <t>WARNING</t>
        </is>
      </c>
    </row>
    <row r="16">
      <c r="A16" s="17" t="inlineStr">
        <is>
          <t>CE</t>
        </is>
      </c>
      <c r="B16" s="18" t="n">
        <v>1336</v>
      </c>
      <c r="C16" s="18" t="n">
        <v>1282</v>
      </c>
      <c r="D16" s="20" t="n">
        <v>20.5</v>
      </c>
      <c r="E16" s="21" t="n">
        <v>0.852</v>
      </c>
      <c r="F16" s="21">
        <f>1-E16</f>
        <v/>
      </c>
      <c r="G16" s="19" t="n">
        <v>32.71</v>
      </c>
      <c r="H16" s="17" t="inlineStr">
        <is>
          <t>WARNING</t>
        </is>
      </c>
    </row>
    <row r="17">
      <c r="A17" s="12" t="inlineStr">
        <is>
          <t>PA</t>
        </is>
      </c>
      <c r="B17" s="13" t="n">
        <v>975</v>
      </c>
      <c r="C17" s="13" t="n">
        <v>930</v>
      </c>
      <c r="D17" s="15" t="n">
        <v>23.3</v>
      </c>
      <c r="E17" s="16" t="n">
        <v>0.825</v>
      </c>
      <c r="F17" s="16">
        <f>1-E17</f>
        <v/>
      </c>
      <c r="G17" s="14" t="n">
        <v>35.84</v>
      </c>
      <c r="H17" s="37" t="inlineStr">
        <is>
          <t>CRITICAL</t>
        </is>
      </c>
    </row>
    <row r="18">
      <c r="A18" s="17" t="inlineStr">
        <is>
          <t>MT</t>
        </is>
      </c>
      <c r="B18" s="18" t="n">
        <v>907</v>
      </c>
      <c r="C18" s="18" t="n">
        <v>875</v>
      </c>
      <c r="D18" s="20" t="n">
        <v>17.5</v>
      </c>
      <c r="E18" s="21" t="n">
        <v>0.912</v>
      </c>
      <c r="F18" s="21">
        <f>1-E18</f>
        <v/>
      </c>
      <c r="G18" s="19" t="n">
        <v>28.16</v>
      </c>
      <c r="H18" s="17" t="inlineStr">
        <is>
          <t>MONITOR</t>
        </is>
      </c>
    </row>
    <row r="19">
      <c r="A19" s="12" t="inlineStr">
        <is>
          <t>MA</t>
        </is>
      </c>
      <c r="B19" s="13" t="n">
        <v>747</v>
      </c>
      <c r="C19" s="13" t="n">
        <v>705</v>
      </c>
      <c r="D19" s="15" t="n">
        <v>21.1</v>
      </c>
      <c r="E19" s="16" t="n">
        <v>0.803</v>
      </c>
      <c r="F19" s="16">
        <f>1-E19</f>
        <v/>
      </c>
      <c r="G19" s="14" t="n">
        <v>38.26</v>
      </c>
      <c r="H19" s="37" t="inlineStr">
        <is>
          <t>CRITICAL</t>
        </is>
      </c>
    </row>
    <row r="20">
      <c r="A20" s="17" t="inlineStr">
        <is>
          <t>MS</t>
        </is>
      </c>
      <c r="B20" s="18" t="n">
        <v>715</v>
      </c>
      <c r="C20" s="18" t="n">
        <v>692</v>
      </c>
      <c r="D20" s="20" t="n">
        <v>15.2</v>
      </c>
      <c r="E20" s="21" t="n">
        <v>0.924</v>
      </c>
      <c r="F20" s="21">
        <f>1-E20</f>
        <v/>
      </c>
      <c r="G20" s="19" t="n">
        <v>23.37</v>
      </c>
      <c r="H20" s="17" t="inlineStr">
        <is>
          <t>MONITOR</t>
        </is>
      </c>
    </row>
    <row r="21">
      <c r="A21" s="12" t="inlineStr">
        <is>
          <t>PB</t>
        </is>
      </c>
      <c r="B21" s="13" t="n">
        <v>536</v>
      </c>
      <c r="C21" s="13" t="n">
        <v>514</v>
      </c>
      <c r="D21" s="15" t="n">
        <v>19.8</v>
      </c>
      <c r="E21" s="16" t="n">
        <v>0.865</v>
      </c>
      <c r="F21" s="16">
        <f>1-E21</f>
        <v/>
      </c>
      <c r="G21" s="14" t="n">
        <v>42.69</v>
      </c>
      <c r="H21" s="12" t="inlineStr">
        <is>
          <t>WARNING</t>
        </is>
      </c>
    </row>
    <row r="22">
      <c r="A22" s="17" t="inlineStr">
        <is>
          <t>PI</t>
        </is>
      </c>
      <c r="B22" s="18" t="n">
        <v>495</v>
      </c>
      <c r="C22" s="18" t="n">
        <v>476</v>
      </c>
      <c r="D22" s="20" t="n">
        <v>18.9</v>
      </c>
      <c r="E22" s="21" t="n">
        <v>0.862</v>
      </c>
      <c r="F22" s="21">
        <f>1-E22</f>
        <v/>
      </c>
      <c r="G22" s="19" t="n">
        <v>39.15</v>
      </c>
      <c r="H22" s="17" t="inlineStr">
        <is>
          <t>WARNING</t>
        </is>
      </c>
    </row>
    <row r="23">
      <c r="A23" s="12" t="inlineStr">
        <is>
          <t>RN</t>
        </is>
      </c>
      <c r="B23" s="13" t="n">
        <v>485</v>
      </c>
      <c r="C23" s="13" t="n">
        <v>468</v>
      </c>
      <c r="D23" s="15" t="n">
        <v>18.8</v>
      </c>
      <c r="E23" s="16" t="n">
        <v>0.871</v>
      </c>
      <c r="F23" s="16">
        <f>1-E23</f>
        <v/>
      </c>
      <c r="G23" s="14" t="n">
        <v>35.65</v>
      </c>
      <c r="H23" s="12" t="inlineStr">
        <is>
          <t>WARNING</t>
        </is>
      </c>
    </row>
    <row r="24">
      <c r="A24" s="12" t="inlineStr">
        <is>
          <t>AL</t>
        </is>
      </c>
      <c r="B24" s="13" t="n">
        <v>413</v>
      </c>
      <c r="C24" s="13" t="n">
        <v>397</v>
      </c>
      <c r="D24" s="15" t="n">
        <v>24</v>
      </c>
      <c r="E24" s="16" t="n">
        <v>0.761</v>
      </c>
      <c r="F24" s="16">
        <f>1-E24</f>
        <v/>
      </c>
      <c r="G24" s="14" t="n">
        <v>35.84</v>
      </c>
      <c r="H24" s="37" t="inlineStr">
        <is>
          <t>CRITICAL</t>
        </is>
      </c>
    </row>
    <row r="25">
      <c r="A25" s="12" t="inlineStr">
        <is>
          <t>SE</t>
        </is>
      </c>
      <c r="B25" s="13" t="n">
        <v>350</v>
      </c>
      <c r="C25" s="13" t="n">
        <v>335</v>
      </c>
      <c r="D25" s="15" t="n">
        <v>21</v>
      </c>
      <c r="E25" s="16" t="n">
        <v>0.862</v>
      </c>
      <c r="F25" s="16">
        <f>1-E25</f>
        <v/>
      </c>
      <c r="G25" s="14" t="n">
        <v>36.65</v>
      </c>
      <c r="H25" s="12" t="inlineStr">
        <is>
          <t>WARNING</t>
        </is>
      </c>
    </row>
    <row r="26">
      <c r="A26" s="17" t="inlineStr">
        <is>
          <t>TO</t>
        </is>
      </c>
      <c r="B26" s="18" t="n">
        <v>280</v>
      </c>
      <c r="C26" s="18" t="n">
        <v>271</v>
      </c>
      <c r="D26" s="20" t="n">
        <v>16.8</v>
      </c>
      <c r="E26" s="21" t="n">
        <v>0.905</v>
      </c>
      <c r="F26" s="21">
        <f>1-E26</f>
        <v/>
      </c>
      <c r="G26" s="19" t="n">
        <v>37.25</v>
      </c>
      <c r="H26" s="17" t="inlineStr">
        <is>
          <t>MONITOR</t>
        </is>
      </c>
    </row>
    <row r="27">
      <c r="A27" s="12" t="inlineStr">
        <is>
          <t>RO</t>
        </is>
      </c>
      <c r="B27" s="13" t="n">
        <v>253</v>
      </c>
      <c r="C27" s="13" t="n">
        <v>243</v>
      </c>
      <c r="D27" s="15" t="n">
        <v>18.9</v>
      </c>
      <c r="E27" s="16" t="n">
        <v>0.885</v>
      </c>
      <c r="F27" s="16">
        <f>1-E27</f>
        <v/>
      </c>
      <c r="G27" s="14" t="n">
        <v>41.07</v>
      </c>
      <c r="H27" s="12" t="inlineStr">
        <is>
          <t>WARNING</t>
        </is>
      </c>
    </row>
    <row r="28">
      <c r="A28" s="12" t="inlineStr">
        <is>
          <t>AM</t>
        </is>
      </c>
      <c r="B28" s="13" t="n">
        <v>148</v>
      </c>
      <c r="C28" s="13" t="n">
        <v>145</v>
      </c>
      <c r="D28" s="15" t="n">
        <v>25.9</v>
      </c>
      <c r="E28" s="16" t="n">
        <v>0.865</v>
      </c>
      <c r="F28" s="16">
        <f>1-E28</f>
        <v/>
      </c>
      <c r="G28" s="14" t="n">
        <v>43.84</v>
      </c>
      <c r="H28" s="37" t="inlineStr">
        <is>
          <t>CRITICAL</t>
        </is>
      </c>
    </row>
    <row r="29">
      <c r="A29" s="12" t="inlineStr">
        <is>
          <t>AC</t>
        </is>
      </c>
      <c r="B29" s="13" t="n">
        <v>81</v>
      </c>
      <c r="C29" s="13" t="n">
        <v>80</v>
      </c>
      <c r="D29" s="15" t="n">
        <v>20.6</v>
      </c>
      <c r="E29" s="16" t="n">
        <v>0.865</v>
      </c>
      <c r="F29" s="16">
        <f>1-E29</f>
        <v/>
      </c>
      <c r="G29" s="14" t="n">
        <v>40.07</v>
      </c>
      <c r="H29" s="12" t="inlineStr">
        <is>
          <t>WARNING</t>
        </is>
      </c>
    </row>
    <row r="30">
      <c r="A30" s="12" t="inlineStr">
        <is>
          <t>AP</t>
        </is>
      </c>
      <c r="B30" s="13" t="n">
        <v>68</v>
      </c>
      <c r="C30" s="13" t="n">
        <v>67</v>
      </c>
      <c r="D30" s="15" t="n">
        <v>25.7</v>
      </c>
      <c r="E30" s="16" t="n">
        <v>0.821</v>
      </c>
      <c r="F30" s="16">
        <f>1-E30</f>
        <v/>
      </c>
      <c r="G30" s="14" t="n">
        <v>42.84</v>
      </c>
      <c r="H30" s="37" t="inlineStr">
        <is>
          <t>CRITICAL</t>
        </is>
      </c>
    </row>
    <row r="31">
      <c r="A31" s="12" t="inlineStr">
        <is>
          <t>RR</t>
        </is>
      </c>
      <c r="B31" s="13" t="n">
        <v>46</v>
      </c>
      <c r="C31" s="13" t="n">
        <v>45</v>
      </c>
      <c r="D31" s="15" t="n">
        <v>28.9</v>
      </c>
      <c r="E31" s="16" t="n">
        <v>0.826</v>
      </c>
      <c r="F31" s="16">
        <f>1-E31</f>
        <v/>
      </c>
      <c r="G31" s="14" t="n">
        <v>42.98</v>
      </c>
      <c r="H31" s="37" t="inlineStr">
        <is>
          <t>CRITICAL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showGridLines="1" workbookViewId="0">
      <selection activeCell="A1" sqref="A1"/>
    </sheetView>
  </sheetViews>
  <sheetFormatPr baseColWidth="8" defaultRowHeight="15"/>
  <cols>
    <col width="79" customWidth="1" min="1" max="1"/>
    <col width="20" customWidth="1" min="2" max="2"/>
    <col width="52" customWidth="1" min="3" max="3"/>
    <col width="132" customWidth="1" min="4" max="4"/>
    <col width="98" customWidth="1" min="5" max="5"/>
    <col width="108" customWidth="1" min="6" max="6"/>
  </cols>
  <sheetData>
    <row r="1">
      <c r="A1" s="1" t="inlineStr">
        <is>
          <t>GOVERNED KPI DEFINITIONS, FORMULAS &amp; AUDIT LOOKUP</t>
        </is>
      </c>
    </row>
    <row r="2">
      <c r="A2" s="2" t="inlineStr">
        <is>
          <t>Canonical Repository of Executive Metrics for Dashboard &amp; MIS Reconciliation</t>
        </is>
      </c>
    </row>
    <row r="3">
      <c r="A3" s="11" t="inlineStr">
        <is>
          <t>Metric Name</t>
        </is>
      </c>
      <c r="B3" s="11" t="inlineStr">
        <is>
          <t>Current Benchmark</t>
        </is>
      </c>
      <c r="C3" s="11" t="inlineStr">
        <is>
          <t>Mathematical Definition</t>
        </is>
      </c>
      <c r="D3" s="11" t="inlineStr">
        <is>
          <t>Canonical SQL Logic</t>
        </is>
      </c>
      <c r="E3" s="11" t="inlineStr">
        <is>
          <t>Power BI DAX Formula</t>
        </is>
      </c>
      <c r="F3" s="11" t="inlineStr">
        <is>
          <t>Business Purpose &amp; Grain</t>
        </is>
      </c>
    </row>
    <row r="4">
      <c r="A4" s="30" t="inlineStr">
        <is>
          <t>Total Revenue (GMV)</t>
        </is>
      </c>
      <c r="B4" s="38" t="n">
        <v>15843520.12</v>
      </c>
      <c r="C4" s="32" t="inlineStr">
        <is>
          <t>SUM(item price + item freight)</t>
        </is>
      </c>
      <c r="D4" s="32" t="inlineStr">
        <is>
          <t>SELECT SUM(line_total) FROM analytics.fact_order_items</t>
        </is>
      </c>
      <c r="E4" s="32" t="inlineStr">
        <is>
          <t>SUMX(order_items, order_items[price] + order_items[freight_value])</t>
        </is>
      </c>
      <c r="F4" s="32" t="inlineStr">
        <is>
          <t>Grain: order_items. Captures all gross e-commerce merchandise + freight turnover.</t>
        </is>
      </c>
    </row>
    <row r="5">
      <c r="A5" s="34" t="inlineStr">
        <is>
          <t>Total Orders</t>
        </is>
      </c>
      <c r="B5" s="39" t="n">
        <v>99441</v>
      </c>
      <c r="C5" s="35" t="inlineStr">
        <is>
          <t>COUNT(DISTINCT order_id)</t>
        </is>
      </c>
      <c r="D5" s="35" t="inlineStr">
        <is>
          <t>SELECT COUNT(order_id) FROM analytics.fact_orders</t>
        </is>
      </c>
      <c r="E5" s="35" t="inlineStr">
        <is>
          <t>DISTINCTCOUNT(orders[order_id])</t>
        </is>
      </c>
      <c r="F5" s="35" t="inlineStr">
        <is>
          <t>Grain: orders. Total distinct order headers processed.</t>
        </is>
      </c>
    </row>
    <row r="6">
      <c r="A6" s="30" t="inlineStr">
        <is>
          <t>Average Order Value (AOV)</t>
        </is>
      </c>
      <c r="B6" s="38" t="n">
        <v>159.33</v>
      </c>
      <c r="C6" s="32" t="inlineStr">
        <is>
          <t>Total Revenue / Total Orders</t>
        </is>
      </c>
      <c r="D6" s="32" t="inlineStr">
        <is>
          <t>SELECT SUM(line_total) / COUNT(DISTINCT order_id) FROM analytics.fact_order_items</t>
        </is>
      </c>
      <c r="E6" s="32" t="inlineStr">
        <is>
          <t>DIVIDE([Total Revenue], [Total Orders])</t>
        </is>
      </c>
      <c r="F6" s="32" t="inlineStr">
        <is>
          <t>Mean spend per order checkout.</t>
        </is>
      </c>
    </row>
    <row r="7">
      <c r="A7" s="34" t="inlineStr">
        <is>
          <t>On-Time Delivery Rate</t>
        </is>
      </c>
      <c r="B7" s="40" t="n">
        <v>0.9189000000000001</v>
      </c>
      <c r="C7" s="35" t="inlineStr">
        <is>
          <t>Delivered On-Time Orders / Total Delivered Orders</t>
        </is>
      </c>
      <c r="D7" s="35" t="inlineStr">
        <is>
          <t>SELECT COUNT(*) FILTER (WHERE is_delivered_on_time = TRUE) / COUNT(*) FROM analytics.fact_orders WHERE order_status = 'delivered'</t>
        </is>
      </c>
      <c r="E7" s="35" t="inlineStr">
        <is>
          <t>DIVIDE(CALCULATE(COUNTROWS(orders), orders[delivered] &lt;= orders[estimated]), COUNTROWS(orders))</t>
        </is>
      </c>
      <c r="F7" s="35" t="inlineStr">
        <is>
          <t>Percentage of fulfilled orders arriving on or before estimated date.</t>
        </is>
      </c>
    </row>
    <row r="8">
      <c r="A8" s="30" t="inlineStr">
        <is>
          <t>Average Review Score</t>
        </is>
      </c>
      <c r="B8" s="41" t="n">
        <v>4.09</v>
      </c>
      <c r="C8" s="32" t="inlineStr">
        <is>
          <t>AVERAGE(review_score)</t>
        </is>
      </c>
      <c r="D8" s="32" t="inlineStr">
        <is>
          <t>SELECT AVG(review_score) FROM analytics.fact_order_reviews</t>
        </is>
      </c>
      <c r="E8" s="32" t="inlineStr">
        <is>
          <t>AVERAGE(order_reviews[review_score])</t>
        </is>
      </c>
      <c r="F8" s="32" t="inlineStr">
        <is>
          <t>Overall customer sentiment rating (scale 1 to 5).</t>
        </is>
      </c>
    </row>
    <row r="9">
      <c r="A9" s="34" t="inlineStr">
        <is>
          <t>Average Delivery Days</t>
        </is>
      </c>
      <c r="B9" s="42" t="n">
        <v>12.5</v>
      </c>
      <c r="C9" s="35" t="inlineStr">
        <is>
          <t>AVERAGE(delivered_date - purchase_date)</t>
        </is>
      </c>
      <c r="D9" s="35" t="inlineStr">
        <is>
          <t>SELECT AVG(delivery_days) FROM analytics.fact_orders WHERE order_status = 'delivered'</t>
        </is>
      </c>
      <c r="E9" s="35" t="inlineStr">
        <is>
          <t>AVERAGEX(orders, DATEDIFF(orders[purchase], orders[delivered], DAY))</t>
        </is>
      </c>
      <c r="F9" s="35" t="inlineStr">
        <is>
          <t>Average calendar transit days from order placement to doorstep receipt.</t>
        </is>
      </c>
    </row>
    <row r="10">
      <c r="A10" s="30" t="inlineStr">
        <is>
          <t>Average Freight Value</t>
        </is>
      </c>
      <c r="B10" s="38" t="n">
        <v>19.99</v>
      </c>
      <c r="C10" s="32" t="inlineStr">
        <is>
          <t>AVERAGE(freight_value)</t>
        </is>
      </c>
      <c r="D10" s="32" t="inlineStr">
        <is>
          <t>SELECT AVG(freight_value) FROM analytics.fact_order_items</t>
        </is>
      </c>
      <c r="E10" s="32" t="inlineStr">
        <is>
          <t>AVERAGE(order_items[freight_value])</t>
        </is>
      </c>
      <c r="F10" s="32" t="inlineStr">
        <is>
          <t>Mean shipping fee charged per line item.</t>
        </is>
      </c>
    </row>
    <row r="11">
      <c r="A11" s="34" t="inlineStr">
        <is>
          <t>Total Payment Value</t>
        </is>
      </c>
      <c r="B11" s="43" t="n">
        <v>16008864.12</v>
      </c>
      <c r="C11" s="35" t="inlineStr">
        <is>
          <t>SUM(payment_value)</t>
        </is>
      </c>
      <c r="D11" s="35" t="inlineStr">
        <is>
          <t>SELECT SUM(payment_value) FROM analytics.fact_order_payments</t>
        </is>
      </c>
      <c r="E11" s="35" t="inlineStr">
        <is>
          <t>SUM(order_payments[payment_value])</t>
        </is>
      </c>
      <c r="F11" s="35" t="inlineStr">
        <is>
          <t>Total funds captured across payment instruments. Differs from revenue due to split payments and vouchers.</t>
        </is>
      </c>
    </row>
    <row r="12">
      <c r="A12" s="30" t="inlineStr">
        <is>
          <t>Unique Customers</t>
        </is>
      </c>
      <c r="B12" s="31" t="n">
        <v>96096</v>
      </c>
      <c r="C12" s="32" t="inlineStr">
        <is>
          <t>COUNT(DISTINCT customer_unique_id)</t>
        </is>
      </c>
      <c r="D12" s="32" t="inlineStr">
        <is>
          <t>SELECT COUNT(DISTINCT customer_unique_id) FROM analytics.dim_customer</t>
        </is>
      </c>
      <c r="E12" s="32" t="inlineStr">
        <is>
          <t>DISTINCTCOUNT(customers[customer_unique_id])</t>
        </is>
      </c>
      <c r="F12" s="32" t="inlineStr">
        <is>
          <t>Unique natural persons who placed at least one order.</t>
        </is>
      </c>
    </row>
    <row r="13">
      <c r="A13" s="34" t="inlineStr">
        <is>
          <t>Repeat Customer Rate</t>
        </is>
      </c>
      <c r="B13" s="40" t="n">
        <v>0.0348</v>
      </c>
      <c r="C13" s="35" t="inlineStr">
        <is>
          <t>Repeat Buyers / Total Unique Customers</t>
        </is>
      </c>
      <c r="D13" s="35" t="inlineStr">
        <is>
          <t>SELECT COUNT(DISTINCT CASE WHEN orders &gt; 1 THEN customer_unique_id END) / COUNT(DISTINCT customer_unique_id)</t>
        </is>
      </c>
      <c r="E13" s="35" t="inlineStr">
        <is>
          <t>DIVIDE([Repeat Customers], [Unique Customers])</t>
        </is>
      </c>
      <c r="F13" s="35" t="inlineStr">
        <is>
          <t>Customer retention metric measuring multi-order buyers.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showGridLines="1" workbookViewId="0">
      <selection activeCell="A1" sqref="A1"/>
    </sheetView>
  </sheetViews>
  <sheetFormatPr baseColWidth="8" defaultRowHeight="15"/>
  <cols>
    <col width="77" customWidth="1" min="1" max="1"/>
    <col width="17" customWidth="1" min="2" max="2"/>
    <col width="17" customWidth="1" min="3" max="3"/>
    <col width="20" customWidth="1" min="4" max="4"/>
    <col width="27" customWidth="1" min="5" max="5"/>
    <col width="26" customWidth="1" min="6" max="6"/>
    <col width="22" customWidth="1" min="7" max="7"/>
  </cols>
  <sheetData>
    <row r="1">
      <c r="A1" s="1" t="inlineStr">
        <is>
          <t>CROSS-LAYER RECONCILIATION &amp; DATA QUALITY AUDIT MATRIX</t>
        </is>
      </c>
    </row>
    <row r="2">
      <c r="A2" s="2" t="inlineStr">
        <is>
          <t>Verification of Row Counts and Financial Aggregates across Pipeline Layers</t>
        </is>
      </c>
    </row>
    <row r="3"/>
    <row r="4">
      <c r="A4" s="11" t="inlineStr">
        <is>
          <t>Entity / Aggregate Concept</t>
        </is>
      </c>
      <c r="B4" s="11" t="inlineStr">
        <is>
          <t>Source CSV Raw</t>
        </is>
      </c>
      <c r="C4" s="11" t="inlineStr">
        <is>
          <t>Staging Layer</t>
        </is>
      </c>
      <c r="D4" s="11" t="inlineStr">
        <is>
          <t>Warehouse DW Fact</t>
        </is>
      </c>
      <c r="E4" s="11" t="inlineStr">
        <is>
          <t>Excel MIS Layer</t>
        </is>
      </c>
      <c r="F4" s="11" t="inlineStr">
        <is>
          <t>Discrepancy (DW vs CSV)</t>
        </is>
      </c>
      <c r="G4" s="11" t="inlineStr">
        <is>
          <t>Integrity Status</t>
        </is>
      </c>
    </row>
    <row r="5">
      <c r="A5" s="34" t="inlineStr">
        <is>
          <t>Orders Header Records</t>
        </is>
      </c>
      <c r="B5" s="18" t="n">
        <v>99441</v>
      </c>
      <c r="C5" s="18" t="n">
        <v>99441</v>
      </c>
      <c r="D5" s="18" t="n">
        <v>99441</v>
      </c>
      <c r="E5" s="18">
        <f>KPI_Calculations!B5</f>
        <v/>
      </c>
      <c r="F5" s="39">
        <f>D5-B5</f>
        <v/>
      </c>
      <c r="G5" s="44" t="inlineStr">
        <is>
          <t>VERIFIED RECONCILED</t>
        </is>
      </c>
    </row>
    <row r="6">
      <c r="A6" s="30" t="inlineStr">
        <is>
          <t>Order Items Line Records</t>
        </is>
      </c>
      <c r="B6" s="13" t="n">
        <v>112650</v>
      </c>
      <c r="C6" s="13" t="n">
        <v>112650</v>
      </c>
      <c r="D6" s="13" t="n">
        <v>112650</v>
      </c>
      <c r="E6" s="13" t="n">
        <v>112650</v>
      </c>
      <c r="F6" s="31">
        <f>D6-B6</f>
        <v/>
      </c>
      <c r="G6" s="44" t="inlineStr">
        <is>
          <t>VERIFIED RECONCILED</t>
        </is>
      </c>
    </row>
    <row r="7">
      <c r="A7" s="34" t="inlineStr">
        <is>
          <t>Payment Transaction Records</t>
        </is>
      </c>
      <c r="B7" s="18" t="n">
        <v>103886</v>
      </c>
      <c r="C7" s="18" t="n">
        <v>103886</v>
      </c>
      <c r="D7" s="18" t="n">
        <v>103886</v>
      </c>
      <c r="E7" s="18" t="n">
        <v>103886</v>
      </c>
      <c r="F7" s="39">
        <f>D7-B7</f>
        <v/>
      </c>
      <c r="G7" s="44" t="inlineStr">
        <is>
          <t>VERIFIED RECONCILED</t>
        </is>
      </c>
    </row>
    <row r="8">
      <c r="A8" s="30" t="inlineStr">
        <is>
          <t>Review Response Records</t>
        </is>
      </c>
      <c r="B8" s="13" t="n">
        <v>99224</v>
      </c>
      <c r="C8" s="13" t="n">
        <v>99224</v>
      </c>
      <c r="D8" s="13" t="n">
        <v>99224</v>
      </c>
      <c r="E8" s="13" t="n">
        <v>99224</v>
      </c>
      <c r="F8" s="31">
        <f>D8-B8</f>
        <v/>
      </c>
      <c r="G8" s="44" t="inlineStr">
        <is>
          <t>VERIFIED RECONCILED</t>
        </is>
      </c>
    </row>
    <row r="9">
      <c r="A9" s="34" t="inlineStr">
        <is>
          <t>Customer Profile Records</t>
        </is>
      </c>
      <c r="B9" s="18" t="n">
        <v>99441</v>
      </c>
      <c r="C9" s="18" t="n">
        <v>99441</v>
      </c>
      <c r="D9" s="18" t="n">
        <v>99441</v>
      </c>
      <c r="E9" s="18" t="n">
        <v>99441</v>
      </c>
      <c r="F9" s="39">
        <f>D9-B9</f>
        <v/>
      </c>
      <c r="G9" s="44" t="inlineStr">
        <is>
          <t>VERIFIED RECONCILED</t>
        </is>
      </c>
    </row>
    <row r="10">
      <c r="A10" s="30" t="inlineStr">
        <is>
          <t>Product Catalog Records</t>
        </is>
      </c>
      <c r="B10" s="13" t="n">
        <v>32951</v>
      </c>
      <c r="C10" s="13" t="n">
        <v>32951</v>
      </c>
      <c r="D10" s="13" t="n">
        <v>32951</v>
      </c>
      <c r="E10" s="13" t="n">
        <v>32951</v>
      </c>
      <c r="F10" s="31">
        <f>D10-B10</f>
        <v/>
      </c>
      <c r="G10" s="44" t="inlineStr">
        <is>
          <t>VERIFIED RECONCILED</t>
        </is>
      </c>
    </row>
    <row r="11">
      <c r="A11" s="34" t="inlineStr">
        <is>
          <t>Seller Directory Records</t>
        </is>
      </c>
      <c r="B11" s="18" t="n">
        <v>3095</v>
      </c>
      <c r="C11" s="18" t="n">
        <v>3095</v>
      </c>
      <c r="D11" s="18" t="n">
        <v>3095</v>
      </c>
      <c r="E11" s="18" t="n">
        <v>3095</v>
      </c>
      <c r="F11" s="39">
        <f>D11-B11</f>
        <v/>
      </c>
      <c r="G11" s="44" t="inlineStr">
        <is>
          <t>VERIFIED RECONCILED</t>
        </is>
      </c>
    </row>
    <row r="12">
      <c r="A12" s="30" t="inlineStr">
        <is>
          <t>Total Revenue (Items Price+Freight)</t>
        </is>
      </c>
      <c r="B12" s="14" t="n">
        <v>15843520.12</v>
      </c>
      <c r="C12" s="14" t="n">
        <v>15843520.12</v>
      </c>
      <c r="D12" s="14" t="n">
        <v>15843520.12</v>
      </c>
      <c r="E12" s="14">
        <f>KPI_Calculations!B4</f>
        <v/>
      </c>
      <c r="F12" s="38">
        <f>D12-B12</f>
        <v/>
      </c>
      <c r="G12" s="44" t="inlineStr">
        <is>
          <t>ZERO FAN-OUT PROVEN</t>
        </is>
      </c>
    </row>
    <row r="13">
      <c r="A13" s="34" t="inlineStr">
        <is>
          <t>Order Pre-Aggregated Revenue</t>
        </is>
      </c>
      <c r="B13" s="19" t="n">
        <v>15843520.12</v>
      </c>
      <c r="C13" s="19" t="n">
        <v>15843520.12</v>
      </c>
      <c r="D13" s="19" t="n">
        <v>15843520.12</v>
      </c>
      <c r="E13" s="19">
        <f>KPI_Calculations!B4</f>
        <v/>
      </c>
      <c r="F13" s="43">
        <f>D13-B13</f>
        <v/>
      </c>
      <c r="G13" s="44" t="inlineStr">
        <is>
          <t>ZERO FAN-OUT PROVEN</t>
        </is>
      </c>
    </row>
    <row r="14">
      <c r="A14" s="30" t="inlineStr">
        <is>
          <t>Captured Payments Total</t>
        </is>
      </c>
      <c r="B14" s="14" t="n">
        <v>16008864.12</v>
      </c>
      <c r="C14" s="14" t="n">
        <v>16008864.12</v>
      </c>
      <c r="D14" s="14" t="n">
        <v>16008864.12</v>
      </c>
      <c r="E14" s="14">
        <f>KPI_Calculations!B11</f>
        <v/>
      </c>
      <c r="F14" s="38">
        <f>D14-B14</f>
        <v/>
      </c>
      <c r="G14" s="44" t="inlineStr">
        <is>
          <t>BALANCED TO LEDGER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2026-10-18T19:56:20Z</dcterms:created>
  <dcterms:modified xsi:type="dcterms:W3CDTF">2026-10-18T19:56:21Z</dcterms:modified>
</cp:coreProperties>
</file>